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ARESOLVER\_Romina\bisuteria\libro_con_macros\"/>
    </mc:Choice>
  </mc:AlternateContent>
  <xr:revisionPtr revIDLastSave="0" documentId="8_{D0552D70-C4C2-4A58-BA02-970EBE552B3A}" xr6:coauthVersionLast="47" xr6:coauthVersionMax="47" xr10:uidLastSave="{00000000-0000-0000-0000-000000000000}"/>
  <bookViews>
    <workbookView xWindow="-108" yWindow="-108" windowWidth="23256" windowHeight="12456" tabRatio="720" xr2:uid="{0B71C527-0382-40E8-A093-3C2F1EE8DB8E}"/>
  </bookViews>
  <sheets>
    <sheet name="Formulario" sheetId="6" r:id="rId1"/>
    <sheet name="PrecioUnitario" sheetId="5" state="veryHidden" r:id="rId2"/>
    <sheet name="FactTable" sheetId="2" state="veryHidden" r:id="rId3"/>
    <sheet name="TablasDinamicas" sheetId="4" state="veryHidden" r:id="rId4"/>
    <sheet name="UNIDADES" sheetId="7" state="hidden" r:id="rId5"/>
    <sheet name="MATERIALES" sheetId="10" state="hidden" r:id="rId6"/>
    <sheet name="SERVICIOS" sheetId="17" state="hidden" r:id="rId7"/>
    <sheet name="MANO_DE_OBRA" sheetId="15" state="hidden" r:id="rId8"/>
    <sheet name="CATEGORIAS" sheetId="16" state="hidden" r:id="rId9"/>
    <sheet name="Notas" sheetId="9" state="hidden" r:id="rId10"/>
  </sheets>
  <functionGroups builtInGroupCount="19"/>
  <definedNames>
    <definedName name="SegmentaciónDeDatos_categoriaProductos">#N/A</definedName>
    <definedName name="SegmentaciónDeDatos_nombreProducto">#N/A</definedName>
  </definedNames>
  <calcPr calcId="191029"/>
  <pivotCaches>
    <pivotCache cacheId="2" r:id="rId11"/>
  </pivotCaches>
  <fileRecoveryPr repairLoad="1"/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8" i="2" l="1"/>
  <c r="O58" i="2"/>
  <c r="U58" i="2"/>
  <c r="I57" i="2"/>
  <c r="O57" i="2"/>
  <c r="I56" i="2"/>
  <c r="U56" i="2"/>
  <c r="I55" i="2"/>
  <c r="U55" i="2"/>
  <c r="I54" i="2"/>
  <c r="U54" i="2"/>
  <c r="I53" i="2"/>
  <c r="U53" i="2"/>
  <c r="O52" i="2"/>
  <c r="U52" i="2"/>
  <c r="O51" i="2"/>
  <c r="U51" i="2"/>
  <c r="O50" i="2"/>
  <c r="U50" i="2"/>
  <c r="O49" i="2"/>
  <c r="U49" i="2"/>
  <c r="O48" i="2"/>
  <c r="U48" i="2"/>
  <c r="O47" i="2"/>
  <c r="U47" i="2"/>
  <c r="I46" i="2"/>
  <c r="O46" i="2"/>
  <c r="U46" i="2"/>
  <c r="I45" i="2"/>
  <c r="O45" i="2"/>
  <c r="I44" i="2"/>
  <c r="U44" i="2"/>
  <c r="I43" i="2"/>
  <c r="U43" i="2"/>
  <c r="I42" i="2"/>
  <c r="U42" i="2"/>
  <c r="I41" i="2"/>
  <c r="U41" i="2"/>
  <c r="O40" i="2"/>
  <c r="U40" i="2"/>
  <c r="O39" i="2"/>
  <c r="U39" i="2"/>
  <c r="O38" i="2"/>
  <c r="U38" i="2"/>
  <c r="O37" i="2"/>
  <c r="U37" i="2"/>
  <c r="I36" i="2"/>
  <c r="O36" i="2"/>
  <c r="U36" i="2"/>
  <c r="I35" i="2"/>
  <c r="O35" i="2"/>
  <c r="I34" i="2"/>
  <c r="U34" i="2"/>
  <c r="I33" i="2"/>
  <c r="U33" i="2"/>
  <c r="I32" i="2"/>
  <c r="U32" i="2"/>
  <c r="O31" i="2"/>
  <c r="U31" i="2"/>
  <c r="O30" i="2"/>
  <c r="U30" i="2"/>
  <c r="O29" i="2"/>
  <c r="U29" i="2"/>
  <c r="I28" i="2"/>
  <c r="O28" i="2"/>
  <c r="U28" i="2"/>
  <c r="I27" i="2"/>
  <c r="O27" i="2"/>
  <c r="I26" i="2"/>
  <c r="U26" i="2"/>
  <c r="O25" i="2"/>
  <c r="U25" i="2"/>
  <c r="O24" i="2"/>
  <c r="U24" i="2"/>
  <c r="O23" i="2"/>
  <c r="U23" i="2"/>
  <c r="I22" i="2"/>
  <c r="O22" i="2"/>
  <c r="U22" i="2"/>
  <c r="I21" i="2"/>
  <c r="O21" i="2"/>
  <c r="I20" i="2"/>
  <c r="O20" i="2"/>
  <c r="I19" i="2"/>
  <c r="U19" i="2"/>
  <c r="I18" i="2"/>
  <c r="U18" i="2"/>
  <c r="I17" i="2"/>
  <c r="U17" i="2"/>
  <c r="O16" i="2"/>
  <c r="U16" i="2"/>
  <c r="O15" i="2"/>
  <c r="U15" i="2"/>
  <c r="O14" i="2"/>
  <c r="U14" i="2"/>
  <c r="I13" i="2"/>
  <c r="O13" i="2"/>
  <c r="U13" i="2"/>
  <c r="I12" i="2"/>
  <c r="O12" i="2"/>
  <c r="I11" i="2"/>
  <c r="U11" i="2"/>
  <c r="I10" i="2"/>
  <c r="U10" i="2"/>
  <c r="O9" i="2"/>
  <c r="U9" i="2"/>
  <c r="O8" i="2"/>
  <c r="U8" i="2"/>
  <c r="I7" i="2"/>
  <c r="O7" i="2"/>
  <c r="U7" i="2"/>
  <c r="I6" i="2"/>
  <c r="O6" i="2"/>
  <c r="I5" i="2"/>
  <c r="U5" i="2"/>
  <c r="I4" i="2"/>
  <c r="U4" i="2"/>
  <c r="O3" i="2"/>
  <c r="U3" i="2"/>
  <c r="O2" i="2"/>
  <c r="U2" i="2"/>
  <c r="K16" i="6" l="1"/>
  <c r="H16" i="6"/>
  <c r="E16" i="6"/>
  <c r="K6" i="4"/>
  <c r="K5" i="4"/>
  <c r="K4" i="4"/>
  <c r="J6" i="4"/>
  <c r="J5" i="4"/>
  <c r="J4" i="4"/>
  <c r="H4" i="4"/>
  <c r="H5" i="4" s="1"/>
  <c r="M10" i="6" l="1"/>
  <c r="K33" i="6"/>
  <c r="M7" i="6"/>
  <c r="K32" i="6"/>
  <c r="M4" i="6"/>
  <c r="K31" i="6"/>
  <c r="H6" i="4"/>
  <c r="M13" i="6" l="1"/>
  <c r="M16" i="6" s="1"/>
</calcChain>
</file>

<file path=xl/sharedStrings.xml><?xml version="1.0" encoding="utf-8"?>
<sst xmlns="http://schemas.openxmlformats.org/spreadsheetml/2006/main" count="478" uniqueCount="134">
  <si>
    <t>Material</t>
  </si>
  <si>
    <t>Servicio</t>
  </si>
  <si>
    <t>Mano de Obra</t>
  </si>
  <si>
    <t>unidadMaterial</t>
  </si>
  <si>
    <t>descripcionServicio</t>
  </si>
  <si>
    <t>costoMaterial$</t>
  </si>
  <si>
    <t>unidadServicio</t>
  </si>
  <si>
    <t>costoServicio$</t>
  </si>
  <si>
    <t>costoMaterialProducto</t>
  </si>
  <si>
    <t>descripcionManoObra</t>
  </si>
  <si>
    <t>unidadManoObra</t>
  </si>
  <si>
    <t>costoManoObra$</t>
  </si>
  <si>
    <t>costoManoObraProducto</t>
  </si>
  <si>
    <t>costoServicioProducto</t>
  </si>
  <si>
    <t>descripcionMaterial</t>
  </si>
  <si>
    <t>Margen</t>
  </si>
  <si>
    <t>% Margen</t>
  </si>
  <si>
    <t>Total general</t>
  </si>
  <si>
    <t>Costo Total =</t>
  </si>
  <si>
    <t>Margen =</t>
  </si>
  <si>
    <t>Precio =</t>
  </si>
  <si>
    <t>Servicios</t>
  </si>
  <si>
    <t>Materiales</t>
  </si>
  <si>
    <t>% Ganancia</t>
  </si>
  <si>
    <t>Producto</t>
  </si>
  <si>
    <t>Indicador</t>
  </si>
  <si>
    <t>Valor</t>
  </si>
  <si>
    <t>nombreProducto</t>
  </si>
  <si>
    <t>categoriaCostos</t>
  </si>
  <si>
    <t>categoriaProductos</t>
  </si>
  <si>
    <t xml:space="preserve">NOMBRE </t>
  </si>
  <si>
    <t>MATERIAL</t>
  </si>
  <si>
    <t>COSTO($)</t>
  </si>
  <si>
    <t>SERVICIO</t>
  </si>
  <si>
    <t>MANO DE OBRA</t>
  </si>
  <si>
    <t>Total</t>
  </si>
  <si>
    <t>CATEGORIA</t>
  </si>
  <si>
    <t>Margen (% Ganancia)</t>
  </si>
  <si>
    <t>Numero</t>
  </si>
  <si>
    <t>COSTO TOTAL</t>
  </si>
  <si>
    <t>PRECIO</t>
  </si>
  <si>
    <t>ZARCILLOS SOLITARIO</t>
  </si>
  <si>
    <t>PULSERA MINIMALISTA</t>
  </si>
  <si>
    <t>UNIDAD</t>
  </si>
  <si>
    <t>UNIDADES</t>
  </si>
  <si>
    <t>PIEDRAS ROJAS</t>
  </si>
  <si>
    <t>PIEDRAS CUARZO</t>
  </si>
  <si>
    <t>TARJETA</t>
  </si>
  <si>
    <t>ALAMBRE</t>
  </si>
  <si>
    <t>COLLAR DE PERLAS</t>
  </si>
  <si>
    <t>BROCHE</t>
  </si>
  <si>
    <t>GASOLINA</t>
  </si>
  <si>
    <t>ROMINA</t>
  </si>
  <si>
    <t>PULSERAS</t>
  </si>
  <si>
    <t>TELÉFONO</t>
  </si>
  <si>
    <t>PULSERA OVALADA</t>
  </si>
  <si>
    <t>INTERNET</t>
  </si>
  <si>
    <t>COLLARES</t>
  </si>
  <si>
    <t>PERLAS</t>
  </si>
  <si>
    <t>TAPAS</t>
  </si>
  <si>
    <t>BOLSA</t>
  </si>
  <si>
    <t>ZARCILLOS</t>
  </si>
  <si>
    <t>TIPO DE MEDIDA</t>
  </si>
  <si>
    <t>LONGITUD</t>
  </si>
  <si>
    <t>CAPACIDAD</t>
  </si>
  <si>
    <t>PESO</t>
  </si>
  <si>
    <t>TIEMPO</t>
  </si>
  <si>
    <t>LONGITUD (EJ: METRO)</t>
  </si>
  <si>
    <t>METRO</t>
  </si>
  <si>
    <t>SEMANA</t>
  </si>
  <si>
    <t>DÍA</t>
  </si>
  <si>
    <t>MES</t>
  </si>
  <si>
    <t>AÑO</t>
  </si>
  <si>
    <t>HORA</t>
  </si>
  <si>
    <t>MINUTO</t>
  </si>
  <si>
    <t>TIPO DE MEDIDA CON EJEMPLO</t>
  </si>
  <si>
    <t>UNIDAD (EJ: UNIDAD)</t>
  </si>
  <si>
    <t>PESO (EJ: GRAMOS)</t>
  </si>
  <si>
    <t>TIEMPO (EJ: MES)</t>
  </si>
  <si>
    <t>CAPACIDAD (EJ: LITROS)</t>
  </si>
  <si>
    <t>ORDENAR</t>
  </si>
  <si>
    <t>PORCENTAJE</t>
  </si>
  <si>
    <t>%</t>
  </si>
  <si>
    <t>PORCENTAJE (EJ: 30%)</t>
  </si>
  <si>
    <t>PETRA</t>
  </si>
  <si>
    <t>CENTÍMETRO</t>
  </si>
  <si>
    <t>MILÍMETRO</t>
  </si>
  <si>
    <t>cantidadUsadaMaterial</t>
  </si>
  <si>
    <t>cantidadUsadaServicio</t>
  </si>
  <si>
    <t>cantidadUsadaManoObra</t>
  </si>
  <si>
    <t>unidadUsadaMaterial</t>
  </si>
  <si>
    <t>unidadUsadaServicio</t>
  </si>
  <si>
    <t>unidadUsadaManoObra</t>
  </si>
  <si>
    <t>Descripcion</t>
  </si>
  <si>
    <t>Subrutina</t>
  </si>
  <si>
    <t>GRAMO</t>
  </si>
  <si>
    <t>MILIGRAMO</t>
  </si>
  <si>
    <t>DECIGRAMO</t>
  </si>
  <si>
    <t>CENTIGRAMO</t>
  </si>
  <si>
    <t>DECILITRO</t>
  </si>
  <si>
    <t>SEGUNDO</t>
  </si>
  <si>
    <t>CENTILITRO</t>
  </si>
  <si>
    <t>MILILITRO</t>
  </si>
  <si>
    <t>LITRO</t>
  </si>
  <si>
    <t>KILOGRAMO</t>
  </si>
  <si>
    <t>MEDIDA DE COSTO</t>
  </si>
  <si>
    <t>CANTIDAD DE USO</t>
  </si>
  <si>
    <t>CANTIDAD COMPRADA</t>
  </si>
  <si>
    <t>MEDIDA DE USO</t>
  </si>
  <si>
    <t>CUERO</t>
  </si>
  <si>
    <t>PULSERA DE HOMBRE</t>
  </si>
  <si>
    <t>PULSERA ROMI</t>
  </si>
  <si>
    <t>CRISTALES</t>
  </si>
  <si>
    <t>CONTADOR</t>
  </si>
  <si>
    <t>ALAMBRE 18</t>
  </si>
  <si>
    <t>ALAMBRE 20</t>
  </si>
  <si>
    <t>ALAMBRE 22</t>
  </si>
  <si>
    <t>ALAMBRE 24</t>
  </si>
  <si>
    <t>ALAMBRE 28</t>
  </si>
  <si>
    <t>ZARCILLOS LIS</t>
  </si>
  <si>
    <t>HILO CHINO</t>
  </si>
  <si>
    <t>DIJE PLATA</t>
  </si>
  <si>
    <t>ROSARIO</t>
  </si>
  <si>
    <t>TERLENCA</t>
  </si>
  <si>
    <t>VITELA</t>
  </si>
  <si>
    <t>CRUZ</t>
  </si>
  <si>
    <t>BALINES</t>
  </si>
  <si>
    <t>COLLAR</t>
  </si>
  <si>
    <t>MOSTACILLA CALIBRADA</t>
  </si>
  <si>
    <t>GUAYA</t>
  </si>
  <si>
    <t>TAPA NUDOS</t>
  </si>
  <si>
    <t>GRAPAS</t>
  </si>
  <si>
    <t>ARGOLLAS</t>
  </si>
  <si>
    <t>BALIN 3MM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</si>
</sst>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$-540A]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 Black"/>
      <family val="2"/>
    </font>
    <font>
      <sz val="12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theme="4"/>
      </patternFill>
    </fill>
    <fill>
      <patternFill patternType="solid">
        <fgColor theme="5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rgb="FF92D050"/>
        <bgColor theme="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0" applyNumberFormat="1"/>
    <xf numFmtId="164" fontId="0" fillId="0" borderId="0" xfId="1" applyNumberFormat="1" applyFont="1"/>
    <xf numFmtId="0" fontId="3" fillId="4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0" xfId="0" applyFont="1"/>
    <xf numFmtId="0" fontId="3" fillId="6" borderId="4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left" vertical="center"/>
    </xf>
    <xf numFmtId="9" fontId="0" fillId="0" borderId="0" xfId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164" fontId="6" fillId="0" borderId="0" xfId="0" applyNumberFormat="1" applyFont="1"/>
    <xf numFmtId="0" fontId="6" fillId="0" borderId="2" xfId="0" applyFont="1" applyBorder="1"/>
    <xf numFmtId="164" fontId="6" fillId="0" borderId="3" xfId="0" applyNumberFormat="1" applyFont="1" applyBorder="1"/>
    <xf numFmtId="0" fontId="7" fillId="0" borderId="0" xfId="2"/>
    <xf numFmtId="2" fontId="4" fillId="0" borderId="0" xfId="0" applyNumberFormat="1" applyFont="1"/>
    <xf numFmtId="0" fontId="0" fillId="0" borderId="0" xfId="0" applyAlignment="1">
      <alignment horizontal="right"/>
    </xf>
    <xf numFmtId="0" fontId="8" fillId="7" borderId="5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9" xfId="0" applyFont="1" applyFill="1" applyBorder="1" applyAlignment="1">
      <alignment horizontal="left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43" fontId="0" fillId="0" borderId="0" xfId="3" applyFont="1"/>
  </cellXfs>
  <cellStyles count="4">
    <cellStyle name="Hipervínculo" xfId="2" builtinId="8"/>
    <cellStyle name="Millares" xfId="3" builtinId="3"/>
    <cellStyle name="Normal" xfId="0" builtinId="0"/>
    <cellStyle name="Porcentaje" xfId="1" builtinId="5"/>
  </cellStyles>
  <dxfs count="65"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numFmt numFmtId="164" formatCode="[$$-540A]#,##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164" formatCode="[$$-540A]#,##0.00"/>
    </dxf>
    <dxf>
      <alignment vertical="bottom"/>
    </dxf>
    <dxf>
      <alignment horizontal="center"/>
    </dxf>
    <dxf>
      <numFmt numFmtId="2" formatCode="0.00"/>
    </dxf>
    <dxf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BD9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3816447567801"/>
          <c:y val="0.1295859932456894"/>
          <c:w val="0.62427544442516758"/>
          <c:h val="0.8129192729413495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FDE-A74B-463CC74BC6F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FDE-A74B-463CC74BC6F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B6-4FDE-A74B-463CC74BC6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Formulario!$J$31:$J$33</c:f>
              <c:strCache>
                <c:ptCount val="3"/>
                <c:pt idx="0">
                  <c:v>MATERIAL</c:v>
                </c:pt>
                <c:pt idx="1">
                  <c:v>SERVICIO</c:v>
                </c:pt>
                <c:pt idx="2">
                  <c:v>MANO DE OBRA</c:v>
                </c:pt>
              </c:strCache>
            </c:strRef>
          </c:cat>
          <c:val>
            <c:numRef>
              <c:f>Formulario!$K$31:$K$33</c:f>
              <c:numCache>
                <c:formatCode>[$$-540A]#,##0.00</c:formatCode>
                <c:ptCount val="3"/>
                <c:pt idx="0">
                  <c:v>0.27900000000000003</c:v>
                </c:pt>
                <c:pt idx="1">
                  <c:v>2.1999999999999999E-2</c:v>
                </c:pt>
                <c:pt idx="2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B6-4FDE-A74B-463CC74B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4665478135987"/>
          <c:y val="5.3681484258912081E-2"/>
          <c:w val="0.4568594314861586"/>
          <c:h val="0.90222680498271046"/>
        </c:manualLayout>
      </c:layout>
      <c:pieChart>
        <c:varyColors val="1"/>
        <c:ser>
          <c:idx val="0"/>
          <c:order val="0"/>
          <c:tx>
            <c:strRef>
              <c:f>TablasDinamicas!$K$3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20-4D43-B653-724B3F6338A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20-4D43-B653-724B3F6338A7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20-4D43-B653-724B3F6338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TablasDinamicas!$J$4:$J$6</c:f>
              <c:strCache>
                <c:ptCount val="3"/>
                <c:pt idx="0">
                  <c:v>Materiales</c:v>
                </c:pt>
                <c:pt idx="1">
                  <c:v>Servicios</c:v>
                </c:pt>
                <c:pt idx="2">
                  <c:v>Mano de Obra</c:v>
                </c:pt>
              </c:strCache>
            </c:strRef>
          </c:cat>
          <c:val>
            <c:numRef>
              <c:f>TablasDinamicas!$K$4:$K$6</c:f>
              <c:numCache>
                <c:formatCode>[$$-540A]#,##0.00</c:formatCode>
                <c:ptCount val="3"/>
                <c:pt idx="0">
                  <c:v>0.27900000000000003</c:v>
                </c:pt>
                <c:pt idx="1">
                  <c:v>2.1999999999999999E-2</c:v>
                </c:pt>
                <c:pt idx="2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20-4D43-B653-724B3F633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jpeg"/><Relationship Id="rId5" Type="http://schemas.microsoft.com/office/2007/relationships/hdphoto" Target="../media/hdphoto1.wdp"/><Relationship Id="rId10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15</xdr:row>
      <xdr:rowOff>0</xdr:rowOff>
    </xdr:from>
    <xdr:to>
      <xdr:col>1</xdr:col>
      <xdr:colOff>993370</xdr:colOff>
      <xdr:row>15</xdr:row>
      <xdr:rowOff>365760</xdr:rowOff>
    </xdr:to>
    <xdr:sp macro="[0]!LimpiarFormulari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73319-0200-E475-8A12-163289601E2C}"/>
            </a:ext>
          </a:extLst>
        </xdr:cNvPr>
        <xdr:cNvSpPr/>
      </xdr:nvSpPr>
      <xdr:spPr>
        <a:xfrm>
          <a:off x="243840" y="4244340"/>
          <a:ext cx="97051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Limpiar</a:t>
          </a:r>
          <a:endParaRPr lang="en-GB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1089660</xdr:colOff>
      <xdr:row>15</xdr:row>
      <xdr:rowOff>693</xdr:rowOff>
    </xdr:from>
    <xdr:to>
      <xdr:col>1</xdr:col>
      <xdr:colOff>2089342</xdr:colOff>
      <xdr:row>15</xdr:row>
      <xdr:rowOff>365760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93C021-0A39-49ED-8693-435692069B9C}"/>
            </a:ext>
          </a:extLst>
        </xdr:cNvPr>
        <xdr:cNvSpPr/>
      </xdr:nvSpPr>
      <xdr:spPr>
        <a:xfrm>
          <a:off x="1310640" y="4069773"/>
          <a:ext cx="999682" cy="3650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Guardar</a:t>
          </a:r>
        </a:p>
      </xdr:txBody>
    </xdr:sp>
    <xdr:clientData/>
  </xdr:twoCellAnchor>
  <xdr:twoCellAnchor>
    <xdr:from>
      <xdr:col>3</xdr:col>
      <xdr:colOff>330834</xdr:colOff>
      <xdr:row>21</xdr:row>
      <xdr:rowOff>23229</xdr:rowOff>
    </xdr:from>
    <xdr:to>
      <xdr:col>7</xdr:col>
      <xdr:colOff>129273</xdr:colOff>
      <xdr:row>41</xdr:row>
      <xdr:rowOff>78900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6F85583-774E-42F8-9A91-964483319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533399</xdr:colOff>
      <xdr:row>10</xdr:row>
      <xdr:rowOff>119383</xdr:rowOff>
    </xdr:from>
    <xdr:to>
      <xdr:col>1</xdr:col>
      <xdr:colOff>403283</xdr:colOff>
      <xdr:row>12</xdr:row>
      <xdr:rowOff>38040</xdr:rowOff>
    </xdr:to>
    <xdr:pic>
      <xdr:nvPicPr>
        <xdr:cNvPr id="21" name="Gráfico 20" descr="Lupa con relleno sólido">
          <a:extLst>
            <a:ext uri="{FF2B5EF4-FFF2-40B4-BE49-F238E27FC236}">
              <a16:creationId xmlns:a16="http://schemas.microsoft.com/office/drawing/2014/main" id="{26C7D06B-80AF-CBF8-8EB8-8BDCFFD7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530920" y="2918402"/>
          <a:ext cx="413957" cy="408999"/>
        </a:xfrm>
        <a:prstGeom prst="rect">
          <a:avLst/>
        </a:prstGeom>
      </xdr:spPr>
    </xdr:pic>
    <xdr:clientData/>
  </xdr:twoCellAnchor>
  <xdr:twoCellAnchor>
    <xdr:from>
      <xdr:col>1</xdr:col>
      <xdr:colOff>19896</xdr:colOff>
      <xdr:row>17</xdr:row>
      <xdr:rowOff>9525</xdr:rowOff>
    </xdr:from>
    <xdr:to>
      <xdr:col>13</xdr:col>
      <xdr:colOff>40640</xdr:colOff>
      <xdr:row>20</xdr:row>
      <xdr:rowOff>35718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E3C2815-10BE-97BA-5673-17B56136D491}"/>
            </a:ext>
          </a:extLst>
        </xdr:cNvPr>
        <xdr:cNvSpPr/>
      </xdr:nvSpPr>
      <xdr:spPr>
        <a:xfrm>
          <a:off x="234209" y="4462463"/>
          <a:ext cx="13153337" cy="5619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GRÁFICOS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</xdr:col>
      <xdr:colOff>2179320</xdr:colOff>
      <xdr:row>15</xdr:row>
      <xdr:rowOff>15241</xdr:rowOff>
    </xdr:from>
    <xdr:to>
      <xdr:col>1</xdr:col>
      <xdr:colOff>2672850</xdr:colOff>
      <xdr:row>16</xdr:row>
      <xdr:rowOff>7620</xdr:rowOff>
    </xdr:to>
    <xdr:sp macro="[0]!EliminarProduct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1479AC-698F-46BE-90BA-EF26E8773FF2}"/>
            </a:ext>
          </a:extLst>
        </xdr:cNvPr>
        <xdr:cNvSpPr/>
      </xdr:nvSpPr>
      <xdr:spPr>
        <a:xfrm>
          <a:off x="2400300" y="4084321"/>
          <a:ext cx="493530" cy="365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</xdr:col>
      <xdr:colOff>2252059</xdr:colOff>
      <xdr:row>15</xdr:row>
      <xdr:rowOff>31746</xdr:rowOff>
    </xdr:from>
    <xdr:to>
      <xdr:col>1</xdr:col>
      <xdr:colOff>2590800</xdr:colOff>
      <xdr:row>15</xdr:row>
      <xdr:rowOff>340870</xdr:rowOff>
    </xdr:to>
    <xdr:pic macro="[0]!EliminarProducto">
      <xdr:nvPicPr>
        <xdr:cNvPr id="10" name="Imagen 9">
          <a:extLst>
            <a:ext uri="{FF2B5EF4-FFF2-40B4-BE49-F238E27FC236}">
              <a16:creationId xmlns:a16="http://schemas.microsoft.com/office/drawing/2014/main" id="{B398A26A-7929-6E62-D92E-3DC17874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45" b="90674" l="10000" r="90000">
                      <a14:foregroundMark x1="63810" y1="90674" x2="63810" y2="90674"/>
                      <a14:foregroundMark x1="68095" y1="58549" x2="68095" y2="58549"/>
                      <a14:foregroundMark x1="37143" y1="68912" x2="37143" y2="68912"/>
                      <a14:foregroundMark x1="51905" y1="63212" x2="51905" y2="6321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73039" y="4100826"/>
          <a:ext cx="338741" cy="30912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45721</xdr:rowOff>
    </xdr:from>
    <xdr:to>
      <xdr:col>1</xdr:col>
      <xdr:colOff>821739</xdr:colOff>
      <xdr:row>1</xdr:row>
      <xdr:rowOff>53341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B415D03-9C03-8BE5-8DCB-B7970E631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30" b="19008"/>
        <a:stretch/>
      </xdr:blipFill>
      <xdr:spPr>
        <a:xfrm>
          <a:off x="548640" y="45721"/>
          <a:ext cx="827454" cy="533400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0</xdr:row>
      <xdr:rowOff>274321</xdr:rowOff>
    </xdr:from>
    <xdr:to>
      <xdr:col>3</xdr:col>
      <xdr:colOff>388620</xdr:colOff>
      <xdr:row>1</xdr:row>
      <xdr:rowOff>60961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5943BFBE-15FA-67E6-0968-3566C24C94A3}"/>
            </a:ext>
          </a:extLst>
        </xdr:cNvPr>
        <xdr:cNvGrpSpPr/>
      </xdr:nvGrpSpPr>
      <xdr:grpSpPr>
        <a:xfrm>
          <a:off x="3268980" y="274321"/>
          <a:ext cx="381000" cy="304800"/>
          <a:chOff x="3253740" y="274321"/>
          <a:chExt cx="381000" cy="304800"/>
        </a:xfrm>
      </xdr:grpSpPr>
      <xdr:sp macro="[0]!MostrarFormularioMateriales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1CBD184F-AF86-4CFB-8BD8-231FFF41DE69}"/>
              </a:ext>
            </a:extLst>
          </xdr:cNvPr>
          <xdr:cNvSpPr/>
        </xdr:nvSpPr>
        <xdr:spPr>
          <a:xfrm>
            <a:off x="3253740" y="274321"/>
            <a:ext cx="38100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teriales">
        <xdr:nvPicPr>
          <xdr:cNvPr id="16" name="Imagen 15">
            <a:extLst>
              <a:ext uri="{FF2B5EF4-FFF2-40B4-BE49-F238E27FC236}">
                <a16:creationId xmlns:a16="http://schemas.microsoft.com/office/drawing/2014/main" id="{46FBAA50-12A3-9228-2D23-5DC46D32F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314701" y="289294"/>
            <a:ext cx="266699" cy="2620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</xdr:colOff>
      <xdr:row>0</xdr:row>
      <xdr:rowOff>274321</xdr:rowOff>
    </xdr:from>
    <xdr:to>
      <xdr:col>9</xdr:col>
      <xdr:colOff>388620</xdr:colOff>
      <xdr:row>1</xdr:row>
      <xdr:rowOff>60961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7D50884-96D5-4E60-8B96-D369D074EC3A}"/>
            </a:ext>
          </a:extLst>
        </xdr:cNvPr>
        <xdr:cNvGrpSpPr/>
      </xdr:nvGrpSpPr>
      <xdr:grpSpPr>
        <a:xfrm>
          <a:off x="8778240" y="274321"/>
          <a:ext cx="381000" cy="304800"/>
          <a:chOff x="13098780" y="594361"/>
          <a:chExt cx="381000" cy="304800"/>
        </a:xfrm>
        <a:solidFill>
          <a:srgbClr val="0070C0"/>
        </a:solidFill>
      </xdr:grpSpPr>
      <xdr:sp macro="[0]!MostrarFormularioManoDeObra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1B7B496-1AED-D6A2-EABD-3ED987D32266}"/>
              </a:ext>
            </a:extLst>
          </xdr:cNvPr>
          <xdr:cNvSpPr/>
        </xdr:nvSpPr>
        <xdr:spPr>
          <a:xfrm>
            <a:off x="13098780" y="594361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noDeObra">
        <xdr:nvPicPr>
          <xdr:cNvPr id="25" name="Imagen 24">
            <a:extLst>
              <a:ext uri="{FF2B5EF4-FFF2-40B4-BE49-F238E27FC236}">
                <a16:creationId xmlns:a16="http://schemas.microsoft.com/office/drawing/2014/main" id="{6A92C642-6D7F-E445-ACE2-E096B54EB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59741" y="609334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6</xdr:col>
      <xdr:colOff>7620</xdr:colOff>
      <xdr:row>0</xdr:row>
      <xdr:rowOff>274320</xdr:rowOff>
    </xdr:from>
    <xdr:to>
      <xdr:col>6</xdr:col>
      <xdr:colOff>388620</xdr:colOff>
      <xdr:row>1</xdr:row>
      <xdr:rowOff>60960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436039B3-B539-3727-B060-BDEAE907449C}"/>
            </a:ext>
          </a:extLst>
        </xdr:cNvPr>
        <xdr:cNvGrpSpPr/>
      </xdr:nvGrpSpPr>
      <xdr:grpSpPr>
        <a:xfrm>
          <a:off x="6263640" y="274320"/>
          <a:ext cx="381000" cy="304800"/>
          <a:chOff x="5913120" y="274320"/>
          <a:chExt cx="381000" cy="304800"/>
        </a:xfrm>
        <a:solidFill>
          <a:srgbClr val="0070C0"/>
        </a:solidFill>
      </xdr:grpSpPr>
      <xdr:sp macro="[0]!MostrarFormularioServicios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3C15E9BC-A737-7A8C-18C9-17343E7629F5}"/>
              </a:ext>
            </a:extLst>
          </xdr:cNvPr>
          <xdr:cNvSpPr/>
        </xdr:nvSpPr>
        <xdr:spPr>
          <a:xfrm>
            <a:off x="5913120" y="274320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Servicios">
        <xdr:nvPicPr>
          <xdr:cNvPr id="31" name="Imagen 30">
            <a:extLst>
              <a:ext uri="{FF2B5EF4-FFF2-40B4-BE49-F238E27FC236}">
                <a16:creationId xmlns:a16="http://schemas.microsoft.com/office/drawing/2014/main" id="{92AAD6C4-2A67-C2BC-9974-B4782E867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74081" y="289293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</xdr:col>
      <xdr:colOff>71019</xdr:colOff>
      <xdr:row>5</xdr:row>
      <xdr:rowOff>15722</xdr:rowOff>
    </xdr:from>
    <xdr:to>
      <xdr:col>1</xdr:col>
      <xdr:colOff>348386</xdr:colOff>
      <xdr:row>5</xdr:row>
      <xdr:rowOff>290860</xdr:rowOff>
    </xdr:to>
    <xdr:pic macro="[0]!MostrarFormularioCategorias">
      <xdr:nvPicPr>
        <xdr:cNvPr id="7" name="Imagen 6">
          <a:extLst>
            <a:ext uri="{FF2B5EF4-FFF2-40B4-BE49-F238E27FC236}">
              <a16:creationId xmlns:a16="http://schemas.microsoft.com/office/drawing/2014/main" id="{D48457A7-4396-AE6F-5C89-7771F00C6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backgroundMark x1="73427" y1="13167" x2="73427" y2="131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1999" y="1448282"/>
          <a:ext cx="277367" cy="275138"/>
        </a:xfrm>
        <a:prstGeom prst="rect">
          <a:avLst/>
        </a:prstGeom>
      </xdr:spPr>
    </xdr:pic>
    <xdr:clientData/>
  </xdr:twoCellAnchor>
  <xdr:twoCellAnchor editAs="oneCell">
    <xdr:from>
      <xdr:col>1</xdr:col>
      <xdr:colOff>2422909</xdr:colOff>
      <xdr:row>5</xdr:row>
      <xdr:rowOff>53340</xdr:rowOff>
    </xdr:from>
    <xdr:to>
      <xdr:col>1</xdr:col>
      <xdr:colOff>2657131</xdr:colOff>
      <xdr:row>5</xdr:row>
      <xdr:rowOff>243840</xdr:rowOff>
    </xdr:to>
    <xdr:pic macro="[0]!EliminarCategoria">
      <xdr:nvPicPr>
        <xdr:cNvPr id="11" name="Imagen 10">
          <a:extLst>
            <a:ext uri="{FF2B5EF4-FFF2-40B4-BE49-F238E27FC236}">
              <a16:creationId xmlns:a16="http://schemas.microsoft.com/office/drawing/2014/main" id="{CAFE32D2-DDD9-C70D-31EE-7F65065F24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10000" b="90000" l="20420" r="83252">
                      <a14:backgroundMark x1="54373" y1="24405" x2="54373" y2="24405"/>
                      <a14:backgroundMark x1="61217" y1="74405" x2="61217" y2="74405"/>
                      <a14:backgroundMark x1="44867" y1="26190" x2="44867" y2="26190"/>
                    </a14:backgroundRemoval>
                  </a14:imgEffect>
                </a14:imgLayer>
              </a14:imgProps>
            </a:ext>
          </a:extLst>
        </a:blip>
        <a:srcRect l="12566" r="8894"/>
        <a:stretch/>
      </xdr:blipFill>
      <xdr:spPr>
        <a:xfrm flipH="1">
          <a:off x="2651509" y="1409700"/>
          <a:ext cx="234222" cy="190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30480</xdr:colOff>
      <xdr:row>27</xdr:row>
      <xdr:rowOff>5715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EB48FB08-10A0-BFE0-2322-7D2D5C65F07E}"/>
            </a:ext>
          </a:extLst>
        </xdr:cNvPr>
        <xdr:cNvGrpSpPr/>
      </xdr:nvGrpSpPr>
      <xdr:grpSpPr>
        <a:xfrm>
          <a:off x="0" y="0"/>
          <a:ext cx="6598920" cy="4943475"/>
          <a:chOff x="2674620" y="45720"/>
          <a:chExt cx="6591300" cy="4943475"/>
        </a:xfrm>
      </xdr:grpSpPr>
      <xdr:pic>
        <xdr:nvPicPr>
          <xdr:cNvPr id="4" name="Imagen 3">
            <a:extLst>
              <a:ext uri="{FF2B5EF4-FFF2-40B4-BE49-F238E27FC236}">
                <a16:creationId xmlns:a16="http://schemas.microsoft.com/office/drawing/2014/main" id="{E031FFF0-3475-499F-98E8-678DD98DE2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74620" y="45720"/>
            <a:ext cx="6591300" cy="4943475"/>
          </a:xfrm>
          <a:prstGeom prst="rect">
            <a:avLst/>
          </a:prstGeom>
        </xdr:spPr>
      </xdr:pic>
      <xdr:sp macro="" textlink="TablasDinamicas!H4">
        <xdr:nvSpPr>
          <xdr:cNvPr id="11" name="CuadroTexto 10">
            <a:extLst>
              <a:ext uri="{FF2B5EF4-FFF2-40B4-BE49-F238E27FC236}">
                <a16:creationId xmlns:a16="http://schemas.microsoft.com/office/drawing/2014/main" id="{6710EAD7-D6CB-47AF-A59B-1112304A2E40}"/>
              </a:ext>
            </a:extLst>
          </xdr:cNvPr>
          <xdr:cNvSpPr txBox="1"/>
        </xdr:nvSpPr>
        <xdr:spPr>
          <a:xfrm>
            <a:off x="3939540" y="142494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7F125C4-79A6-463E-BD22-364872FA68BD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ctr"/>
              <a:t>$2,80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TablasDinamicas!E8">
        <xdr:nvSpPr>
          <xdr:cNvPr id="12" name="CuadroTexto 11">
            <a:extLst>
              <a:ext uri="{FF2B5EF4-FFF2-40B4-BE49-F238E27FC236}">
                <a16:creationId xmlns:a16="http://schemas.microsoft.com/office/drawing/2014/main" id="{4AB13B9E-3D45-474C-8232-A5DB75B6220C}"/>
              </a:ext>
            </a:extLst>
          </xdr:cNvPr>
          <xdr:cNvSpPr txBox="1"/>
        </xdr:nvSpPr>
        <xdr:spPr>
          <a:xfrm>
            <a:off x="3116580" y="2545080"/>
            <a:ext cx="89916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DE76D0C-498C-40CD-9812-62AE1FF4D2DE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30%</a:t>
            </a:fld>
            <a:endParaRPr lang="en-GB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H6">
        <xdr:nvSpPr>
          <xdr:cNvPr id="13" name="CuadroTexto 12">
            <a:extLst>
              <a:ext uri="{FF2B5EF4-FFF2-40B4-BE49-F238E27FC236}">
                <a16:creationId xmlns:a16="http://schemas.microsoft.com/office/drawing/2014/main" id="{7A43CB53-8088-4B11-B7A5-97704A200FDF}"/>
              </a:ext>
            </a:extLst>
          </xdr:cNvPr>
          <xdr:cNvSpPr txBox="1"/>
        </xdr:nvSpPr>
        <xdr:spPr>
          <a:xfrm>
            <a:off x="3909060" y="363474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CB1CE65-6778-4FF3-B4A1-E49DDD5B6427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$3,64</a:t>
            </a:fld>
            <a:endParaRPr lang="en-GB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B1">
        <xdr:nvSpPr>
          <xdr:cNvPr id="14" name="CuadroTexto 13">
            <a:extLst>
              <a:ext uri="{FF2B5EF4-FFF2-40B4-BE49-F238E27FC236}">
                <a16:creationId xmlns:a16="http://schemas.microsoft.com/office/drawing/2014/main" id="{9E7F8CA0-3C74-4A6C-8901-34093AB88902}"/>
              </a:ext>
            </a:extLst>
          </xdr:cNvPr>
          <xdr:cNvSpPr txBox="1"/>
        </xdr:nvSpPr>
        <xdr:spPr>
          <a:xfrm>
            <a:off x="3726180" y="358140"/>
            <a:ext cx="47320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6E43E68-3E98-4D07-A597-6A5C61A4E155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l"/>
              <a:t>PULSERA DE HOMBRE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TablasDinamicas!B8">
        <xdr:nvSpPr>
          <xdr:cNvPr id="15" name="CuadroTexto 14">
            <a:extLst>
              <a:ext uri="{FF2B5EF4-FFF2-40B4-BE49-F238E27FC236}">
                <a16:creationId xmlns:a16="http://schemas.microsoft.com/office/drawing/2014/main" id="{211FBD93-83CC-4F35-9230-A7C84E79C730}"/>
              </a:ext>
            </a:extLst>
          </xdr:cNvPr>
          <xdr:cNvSpPr txBox="1"/>
        </xdr:nvSpPr>
        <xdr:spPr>
          <a:xfrm>
            <a:off x="5387340" y="148590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6181A33-2F9C-4545-AAC5-DAAE451AE5BB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$0,28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C8">
        <xdr:nvSpPr>
          <xdr:cNvPr id="20" name="CuadroTexto 19">
            <a:extLst>
              <a:ext uri="{FF2B5EF4-FFF2-40B4-BE49-F238E27FC236}">
                <a16:creationId xmlns:a16="http://schemas.microsoft.com/office/drawing/2014/main" id="{DF3AC246-E159-42E8-9439-2C99B42C19E0}"/>
              </a:ext>
            </a:extLst>
          </xdr:cNvPr>
          <xdr:cNvSpPr txBox="1"/>
        </xdr:nvSpPr>
        <xdr:spPr>
          <a:xfrm>
            <a:off x="6454140" y="149352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975F7437-491D-4785-BE16-23B0D4B7BCE8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$0,02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D8">
        <xdr:nvSpPr>
          <xdr:cNvPr id="22" name="CuadroTexto 21">
            <a:extLst>
              <a:ext uri="{FF2B5EF4-FFF2-40B4-BE49-F238E27FC236}">
                <a16:creationId xmlns:a16="http://schemas.microsoft.com/office/drawing/2014/main" id="{47F83807-722D-424A-B25B-518E76E3A30D}"/>
              </a:ext>
            </a:extLst>
          </xdr:cNvPr>
          <xdr:cNvSpPr txBox="1"/>
        </xdr:nvSpPr>
        <xdr:spPr>
          <a:xfrm>
            <a:off x="7490460" y="148590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26C8BDE-4FCC-4FFC-B40C-4D63670016AC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$2,50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H5">
        <xdr:nvSpPr>
          <xdr:cNvPr id="24" name="CuadroTexto 23">
            <a:extLst>
              <a:ext uri="{FF2B5EF4-FFF2-40B4-BE49-F238E27FC236}">
                <a16:creationId xmlns:a16="http://schemas.microsoft.com/office/drawing/2014/main" id="{D784D2C5-CF5C-4612-BC88-8FFA4BB11330}"/>
              </a:ext>
            </a:extLst>
          </xdr:cNvPr>
          <xdr:cNvSpPr txBox="1"/>
        </xdr:nvSpPr>
        <xdr:spPr>
          <a:xfrm>
            <a:off x="3954780" y="2552700"/>
            <a:ext cx="100584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8AD2989-6237-43D1-BBA4-049D26235205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ctr"/>
              <a:t>$0,84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A537DD93-793A-4613-8142-70FFB7338DB6}"/>
              </a:ext>
            </a:extLst>
          </xdr:cNvPr>
          <xdr:cNvGraphicFramePr>
            <a:graphicFrameLocks/>
          </xdr:cNvGraphicFramePr>
        </xdr:nvGraphicFramePr>
        <xdr:xfrm>
          <a:off x="5364480" y="2560320"/>
          <a:ext cx="3230880" cy="14401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9</xdr:col>
      <xdr:colOff>38100</xdr:colOff>
      <xdr:row>6</xdr:row>
      <xdr:rowOff>22860</xdr:rowOff>
    </xdr:from>
    <xdr:to>
      <xdr:col>12</xdr:col>
      <xdr:colOff>480060</xdr:colOff>
      <xdr:row>24</xdr:row>
      <xdr:rowOff>104141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breProducto">
              <a:extLst>
                <a:ext uri="{FF2B5EF4-FFF2-40B4-BE49-F238E27FC236}">
                  <a16:creationId xmlns:a16="http://schemas.microsoft.com/office/drawing/2014/main" id="{D1FFA269-9A85-456E-BAD2-B73DB823AC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98920" y="1120140"/>
              <a:ext cx="2819400" cy="33731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60960</xdr:colOff>
      <xdr:row>0</xdr:row>
      <xdr:rowOff>38100</xdr:rowOff>
    </xdr:from>
    <xdr:to>
      <xdr:col>12</xdr:col>
      <xdr:colOff>480059</xdr:colOff>
      <xdr:row>5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ategoriaProductos">
              <a:extLst>
                <a:ext uri="{FF2B5EF4-FFF2-40B4-BE49-F238E27FC236}">
                  <a16:creationId xmlns:a16="http://schemas.microsoft.com/office/drawing/2014/main" id="{6177BA6B-688F-4080-B5AA-3FF069EEFA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Produc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1780" y="38100"/>
              <a:ext cx="2796539" cy="10439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vi Camacho" refreshedDate="45768.762343634262" createdVersion="8" refreshedVersion="8" minRefreshableVersion="3" recordCount="57" xr:uid="{FA38EBDB-6F6B-40E0-A39D-1DA259BE4882}">
  <cacheSource type="worksheet">
    <worksheetSource name="FactTable"/>
  </cacheSource>
  <cacheFields count="22">
    <cacheField name="nombreProducto" numFmtId="0">
      <sharedItems count="35">
        <s v="COLLAR DE PERLAS"/>
        <s v="PULSERA OVALADA"/>
        <s v="PULSERA MINIMALISTA"/>
        <s v="PULSERA DE HOMBRE"/>
        <s v="ZARCILLOS SOLITARIO"/>
        <s v="PULSERA ROMI"/>
        <s v="ZARCILLOS LIS"/>
        <s v="ZACILLOS LIS" u="1"/>
        <s v="PULSERA DE DIAMANTES" u="1"/>
        <s v="COLLAR CORTO" u="1"/>
        <s v="NUEVO COLLAR" u="1"/>
        <s v="NUEVO PRODUCTO" u="1"/>
        <s v="MAT 1" u="1"/>
        <s v="PULSERA DE ORO" u="1"/>
        <s v="OTRA PULSERA" u="1"/>
        <s v="Pulsera guacamaya 5" u="1"/>
        <s v="ZARCILLO SIMPLE" u="1"/>
        <s v="PULSERA DE DIAMANTES 2" u="1"/>
        <s v="OTRO ZARCILLO" u="1"/>
        <s v="Zarcillo solitario" u="1"/>
        <s v="PULSERA DE PERLAS ROJAS" u="1"/>
        <s v="PULSER GUACAMAYA" u="1"/>
        <s v="PRODUCTO DESDE CERO" u="1"/>
        <s v="COLLAR VERDE" u="1"/>
        <s v="NUEVO" u="1"/>
        <s v="COLLAR VERDE LIMON" u="1"/>
        <s v="PULSERA DE PERLAS BLANCAS" u="1"/>
        <s v="ZARCILLOS SOLITARIO DOBLE" u="1"/>
        <s v="PULSERA AMARILLA" u="1"/>
        <s v="PULSER GUACAMAYA 2" u="1"/>
        <s v="PULSER GUACAMAYA 3" u="1"/>
        <s v="PULSER GUACAMAYA 4" u="1"/>
        <s v="ZARCILLOS 1" u="1"/>
        <s v="fgfdg" u="1"/>
        <s v="PULSERA CELIA" u="1"/>
      </sharedItems>
    </cacheField>
    <cacheField name="categoriaProductos" numFmtId="0">
      <sharedItems count="4">
        <s v="COLLARES"/>
        <s v="PULSERAS"/>
        <s v="ZARCILLOS"/>
        <s v="NUEVA CATEGORIA2" u="1"/>
      </sharedItems>
    </cacheField>
    <cacheField name="categoriaCostos" numFmtId="0">
      <sharedItems count="4">
        <s v="Material"/>
        <s v="Servicio"/>
        <s v="Mano de Obra"/>
        <s v="Margen"/>
      </sharedItems>
    </cacheField>
    <cacheField name="descripcionMaterial" numFmtId="0">
      <sharedItems containsBlank="1"/>
    </cacheField>
    <cacheField name="unidadMaterial" numFmtId="0">
      <sharedItems containsNonDate="0" containsString="0" containsBlank="1"/>
    </cacheField>
    <cacheField name="unidadUsadaMaterial" numFmtId="0">
      <sharedItems containsNonDate="0" containsString="0" containsBlank="1"/>
    </cacheField>
    <cacheField name="costoMaterial$" numFmtId="0">
      <sharedItems containsNonDate="0" containsString="0" containsBlank="1"/>
    </cacheField>
    <cacheField name="cantidadUsadaMaterial" numFmtId="0">
      <sharedItems containsNonDate="0" containsString="0" containsBlank="1"/>
    </cacheField>
    <cacheField name="costoMaterialProducto" numFmtId="2">
      <sharedItems containsSemiMixedTypes="0" containsString="0" containsNumber="1" minValue="0" maxValue="2"/>
    </cacheField>
    <cacheField name="descripcionServicio" numFmtId="0">
      <sharedItems containsBlank="1"/>
    </cacheField>
    <cacheField name="unidadServicio" numFmtId="0">
      <sharedItems containsNonDate="0" containsString="0" containsBlank="1"/>
    </cacheField>
    <cacheField name="unidadUsadaServicio" numFmtId="0">
      <sharedItems containsNonDate="0" containsString="0" containsBlank="1"/>
    </cacheField>
    <cacheField name="costoServicio$" numFmtId="0">
      <sharedItems containsNonDate="0" containsString="0" containsBlank="1"/>
    </cacheField>
    <cacheField name="cantidadUsadaServicio" numFmtId="0">
      <sharedItems containsNonDate="0" containsString="0" containsBlank="1"/>
    </cacheField>
    <cacheField name="costoServicioProducto" numFmtId="0">
      <sharedItems containsString="0" containsBlank="1" containsNumber="1" minValue="0" maxValue="5.25"/>
    </cacheField>
    <cacheField name="descripcionManoObra" numFmtId="0">
      <sharedItems containsBlank="1"/>
    </cacheField>
    <cacheField name="unidadManoObra" numFmtId="0">
      <sharedItems containsNonDate="0" containsString="0" containsBlank="1"/>
    </cacheField>
    <cacheField name="unidadUsadaManoObra" numFmtId="0">
      <sharedItems containsNonDate="0" containsString="0" containsBlank="1"/>
    </cacheField>
    <cacheField name="costoManoObra$" numFmtId="0">
      <sharedItems containsNonDate="0" containsString="0" containsBlank="1"/>
    </cacheField>
    <cacheField name="cantidadUsadaManoObra" numFmtId="0">
      <sharedItems containsNonDate="0" containsString="0" containsBlank="1"/>
    </cacheField>
    <cacheField name="costoManoObraProducto" numFmtId="2">
      <sharedItems containsSemiMixedTypes="0" containsString="0" containsNumber="1" minValue="0" maxValue="75"/>
    </cacheField>
    <cacheField name="% Margen" numFmtId="0">
      <sharedItems containsString="0" containsBlank="1" containsNumber="1" minValue="0.3" maxValue="0.6"/>
    </cacheField>
  </cacheFields>
  <extLst>
    <ext xmlns:x14="http://schemas.microsoft.com/office/spreadsheetml/2009/9/main" uri="{725AE2AE-9491-48be-B2B4-4EB974FC3084}">
      <x14:pivotCacheDefinition pivotCacheId="12011060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x v="0"/>
    <x v="0"/>
    <s v="BROCHE"/>
    <m/>
    <m/>
    <m/>
    <m/>
    <n v="1.25"/>
    <m/>
    <m/>
    <m/>
    <m/>
    <m/>
    <n v="0"/>
    <m/>
    <m/>
    <m/>
    <m/>
    <m/>
    <n v="0"/>
    <m/>
  </r>
  <r>
    <x v="0"/>
    <x v="0"/>
    <x v="0"/>
    <s v="ALAMBRE"/>
    <m/>
    <m/>
    <m/>
    <m/>
    <n v="2"/>
    <m/>
    <m/>
    <m/>
    <m/>
    <m/>
    <n v="0"/>
    <m/>
    <m/>
    <m/>
    <m/>
    <m/>
    <n v="0"/>
    <m/>
  </r>
  <r>
    <x v="0"/>
    <x v="0"/>
    <x v="1"/>
    <m/>
    <m/>
    <m/>
    <m/>
    <m/>
    <n v="0"/>
    <s v="INTERNET"/>
    <m/>
    <m/>
    <m/>
    <m/>
    <n v="0.25"/>
    <m/>
    <m/>
    <m/>
    <m/>
    <m/>
    <n v="0"/>
    <m/>
  </r>
  <r>
    <x v="0"/>
    <x v="0"/>
    <x v="1"/>
    <m/>
    <m/>
    <m/>
    <m/>
    <m/>
    <n v="0"/>
    <s v="GASOLINA"/>
    <m/>
    <m/>
    <m/>
    <m/>
    <n v="0.2"/>
    <m/>
    <m/>
    <m/>
    <m/>
    <m/>
    <n v="0"/>
    <m/>
  </r>
  <r>
    <x v="0"/>
    <x v="0"/>
    <x v="2"/>
    <m/>
    <m/>
    <m/>
    <m/>
    <m/>
    <n v="0"/>
    <m/>
    <m/>
    <m/>
    <m/>
    <m/>
    <n v="0"/>
    <s v="ROMINA"/>
    <m/>
    <m/>
    <m/>
    <m/>
    <n v="0.37"/>
    <m/>
  </r>
  <r>
    <x v="0"/>
    <x v="0"/>
    <x v="3"/>
    <m/>
    <m/>
    <m/>
    <m/>
    <m/>
    <n v="0"/>
    <m/>
    <m/>
    <m/>
    <m/>
    <m/>
    <n v="0"/>
    <m/>
    <m/>
    <m/>
    <m/>
    <m/>
    <n v="0"/>
    <n v="0.6"/>
  </r>
  <r>
    <x v="1"/>
    <x v="1"/>
    <x v="0"/>
    <s v="PIEDRAS CUARZO"/>
    <m/>
    <m/>
    <m/>
    <m/>
    <n v="0.2"/>
    <m/>
    <m/>
    <m/>
    <m/>
    <m/>
    <n v="0"/>
    <m/>
    <m/>
    <m/>
    <m/>
    <m/>
    <n v="0"/>
    <m/>
  </r>
  <r>
    <x v="1"/>
    <x v="1"/>
    <x v="0"/>
    <s v="ALAMBRE"/>
    <m/>
    <m/>
    <m/>
    <m/>
    <n v="0.113"/>
    <m/>
    <m/>
    <m/>
    <m/>
    <m/>
    <n v="0"/>
    <m/>
    <m/>
    <m/>
    <m/>
    <m/>
    <n v="0"/>
    <m/>
  </r>
  <r>
    <x v="1"/>
    <x v="1"/>
    <x v="1"/>
    <m/>
    <m/>
    <m/>
    <m/>
    <m/>
    <n v="0"/>
    <s v="INTERNET"/>
    <m/>
    <m/>
    <m/>
    <m/>
    <n v="0.5"/>
    <m/>
    <m/>
    <m/>
    <m/>
    <m/>
    <n v="0"/>
    <m/>
  </r>
  <r>
    <x v="1"/>
    <x v="1"/>
    <x v="1"/>
    <m/>
    <m/>
    <m/>
    <m/>
    <m/>
    <n v="0"/>
    <s v="GASOLINA"/>
    <m/>
    <m/>
    <m/>
    <m/>
    <n v="8.8999999999999996E-2"/>
    <m/>
    <m/>
    <m/>
    <m/>
    <m/>
    <n v="0"/>
    <m/>
  </r>
  <r>
    <x v="1"/>
    <x v="1"/>
    <x v="2"/>
    <m/>
    <m/>
    <m/>
    <m/>
    <m/>
    <n v="0"/>
    <m/>
    <m/>
    <m/>
    <m/>
    <m/>
    <n v="0"/>
    <s v="ROMINA"/>
    <m/>
    <m/>
    <m/>
    <m/>
    <n v="0.89"/>
    <m/>
  </r>
  <r>
    <x v="1"/>
    <x v="1"/>
    <x v="3"/>
    <m/>
    <m/>
    <m/>
    <m/>
    <m/>
    <n v="0"/>
    <m/>
    <m/>
    <m/>
    <m/>
    <m/>
    <n v="0"/>
    <m/>
    <m/>
    <m/>
    <m/>
    <m/>
    <n v="0"/>
    <n v="0.52"/>
  </r>
  <r>
    <x v="2"/>
    <x v="1"/>
    <x v="0"/>
    <s v="ALAMBRE"/>
    <m/>
    <m/>
    <m/>
    <m/>
    <n v="0.113"/>
    <m/>
    <m/>
    <m/>
    <m/>
    <m/>
    <n v="0"/>
    <m/>
    <m/>
    <m/>
    <m/>
    <m/>
    <n v="0"/>
    <m/>
  </r>
  <r>
    <x v="2"/>
    <x v="1"/>
    <x v="0"/>
    <s v="TARJETA"/>
    <m/>
    <m/>
    <m/>
    <m/>
    <n v="0.23"/>
    <m/>
    <m/>
    <m/>
    <m/>
    <m/>
    <n v="0"/>
    <m/>
    <m/>
    <m/>
    <m/>
    <m/>
    <n v="0"/>
    <m/>
  </r>
  <r>
    <x v="2"/>
    <x v="1"/>
    <x v="0"/>
    <s v="BROCHE"/>
    <m/>
    <m/>
    <m/>
    <m/>
    <n v="0.3"/>
    <m/>
    <m/>
    <m/>
    <m/>
    <m/>
    <n v="0"/>
    <m/>
    <m/>
    <m/>
    <m/>
    <m/>
    <n v="0"/>
    <m/>
  </r>
  <r>
    <x v="2"/>
    <x v="1"/>
    <x v="1"/>
    <m/>
    <m/>
    <m/>
    <m/>
    <m/>
    <n v="0"/>
    <s v="INTERNET"/>
    <m/>
    <m/>
    <m/>
    <m/>
    <n v="5.25"/>
    <m/>
    <m/>
    <m/>
    <m/>
    <m/>
    <n v="0"/>
    <m/>
  </r>
  <r>
    <x v="2"/>
    <x v="1"/>
    <x v="1"/>
    <m/>
    <m/>
    <m/>
    <m/>
    <m/>
    <n v="0"/>
    <s v="TELÉFONO"/>
    <m/>
    <m/>
    <m/>
    <m/>
    <n v="2E-3"/>
    <m/>
    <m/>
    <m/>
    <m/>
    <m/>
    <n v="0"/>
    <m/>
  </r>
  <r>
    <x v="2"/>
    <x v="1"/>
    <x v="1"/>
    <m/>
    <m/>
    <m/>
    <m/>
    <m/>
    <n v="0"/>
    <s v="GASOLINA"/>
    <m/>
    <m/>
    <m/>
    <m/>
    <m/>
    <m/>
    <m/>
    <m/>
    <m/>
    <m/>
    <n v="0"/>
    <m/>
  </r>
  <r>
    <x v="2"/>
    <x v="1"/>
    <x v="2"/>
    <m/>
    <m/>
    <m/>
    <m/>
    <m/>
    <n v="0"/>
    <m/>
    <m/>
    <m/>
    <m/>
    <m/>
    <n v="0"/>
    <s v="ROMINA"/>
    <m/>
    <m/>
    <m/>
    <m/>
    <n v="75"/>
    <m/>
  </r>
  <r>
    <x v="2"/>
    <x v="1"/>
    <x v="2"/>
    <m/>
    <m/>
    <m/>
    <m/>
    <m/>
    <n v="0"/>
    <m/>
    <m/>
    <m/>
    <m/>
    <m/>
    <n v="0"/>
    <s v="PETRA"/>
    <m/>
    <m/>
    <m/>
    <m/>
    <n v="5.7140000000000004"/>
    <m/>
  </r>
  <r>
    <x v="2"/>
    <x v="1"/>
    <x v="3"/>
    <m/>
    <m/>
    <m/>
    <m/>
    <m/>
    <n v="0"/>
    <m/>
    <m/>
    <m/>
    <m/>
    <m/>
    <n v="0"/>
    <m/>
    <m/>
    <m/>
    <m/>
    <m/>
    <n v="0"/>
    <n v="0.51"/>
  </r>
  <r>
    <x v="3"/>
    <x v="1"/>
    <x v="0"/>
    <s v="ALAMBRE"/>
    <m/>
    <m/>
    <m/>
    <m/>
    <n v="0.13200000000000001"/>
    <m/>
    <m/>
    <m/>
    <m/>
    <m/>
    <n v="0"/>
    <m/>
    <m/>
    <m/>
    <m/>
    <m/>
    <n v="0"/>
    <m/>
  </r>
  <r>
    <x v="3"/>
    <x v="1"/>
    <x v="0"/>
    <s v="BOLSA"/>
    <m/>
    <m/>
    <m/>
    <m/>
    <n v="6.7000000000000004E-2"/>
    <m/>
    <m/>
    <m/>
    <m/>
    <m/>
    <n v="0"/>
    <m/>
    <m/>
    <m/>
    <m/>
    <m/>
    <n v="0"/>
    <m/>
  </r>
  <r>
    <x v="3"/>
    <x v="1"/>
    <x v="0"/>
    <s v="TARJETA"/>
    <m/>
    <m/>
    <m/>
    <m/>
    <n v="0.08"/>
    <m/>
    <m/>
    <m/>
    <m/>
    <m/>
    <n v="0"/>
    <m/>
    <m/>
    <m/>
    <m/>
    <m/>
    <n v="0"/>
    <m/>
  </r>
  <r>
    <x v="3"/>
    <x v="1"/>
    <x v="1"/>
    <m/>
    <m/>
    <m/>
    <m/>
    <m/>
    <n v="0"/>
    <s v="TELÉFONO"/>
    <m/>
    <m/>
    <m/>
    <m/>
    <n v="2.1999999999999999E-2"/>
    <m/>
    <m/>
    <m/>
    <m/>
    <m/>
    <n v="0"/>
    <m/>
  </r>
  <r>
    <x v="3"/>
    <x v="1"/>
    <x v="2"/>
    <m/>
    <m/>
    <m/>
    <m/>
    <m/>
    <n v="0"/>
    <m/>
    <m/>
    <m/>
    <m/>
    <m/>
    <n v="0"/>
    <s v="ROMINA"/>
    <m/>
    <m/>
    <m/>
    <m/>
    <n v="2.5"/>
    <m/>
  </r>
  <r>
    <x v="3"/>
    <x v="1"/>
    <x v="3"/>
    <m/>
    <m/>
    <m/>
    <m/>
    <m/>
    <n v="0"/>
    <m/>
    <m/>
    <m/>
    <m/>
    <m/>
    <n v="0"/>
    <m/>
    <m/>
    <m/>
    <m/>
    <m/>
    <n v="0"/>
    <n v="0.3"/>
  </r>
  <r>
    <x v="4"/>
    <x v="2"/>
    <x v="0"/>
    <s v="ALAMBRE"/>
    <m/>
    <m/>
    <m/>
    <m/>
    <n v="0.04"/>
    <m/>
    <m/>
    <m/>
    <m/>
    <m/>
    <n v="0"/>
    <m/>
    <m/>
    <m/>
    <m/>
    <m/>
    <n v="0"/>
    <m/>
  </r>
  <r>
    <x v="4"/>
    <x v="2"/>
    <x v="0"/>
    <s v="PERLAS"/>
    <m/>
    <m/>
    <m/>
    <m/>
    <n v="0.2"/>
    <m/>
    <m/>
    <m/>
    <m/>
    <m/>
    <n v="0"/>
    <m/>
    <m/>
    <m/>
    <m/>
    <m/>
    <n v="0"/>
    <m/>
  </r>
  <r>
    <x v="4"/>
    <x v="2"/>
    <x v="0"/>
    <s v="BOLSA"/>
    <m/>
    <m/>
    <m/>
    <m/>
    <n v="0.01"/>
    <m/>
    <m/>
    <m/>
    <m/>
    <m/>
    <n v="0"/>
    <m/>
    <m/>
    <m/>
    <m/>
    <m/>
    <n v="0"/>
    <m/>
  </r>
  <r>
    <x v="4"/>
    <x v="2"/>
    <x v="1"/>
    <m/>
    <m/>
    <m/>
    <m/>
    <m/>
    <n v="0"/>
    <s v="INTERNET"/>
    <m/>
    <m/>
    <m/>
    <m/>
    <n v="0.03"/>
    <m/>
    <m/>
    <m/>
    <m/>
    <m/>
    <n v="0"/>
    <m/>
  </r>
  <r>
    <x v="4"/>
    <x v="2"/>
    <x v="1"/>
    <m/>
    <m/>
    <m/>
    <m/>
    <m/>
    <n v="0"/>
    <s v="TELÉFONO"/>
    <m/>
    <m/>
    <m/>
    <m/>
    <n v="0.08"/>
    <m/>
    <m/>
    <m/>
    <m/>
    <m/>
    <n v="0"/>
    <m/>
  </r>
  <r>
    <x v="4"/>
    <x v="2"/>
    <x v="1"/>
    <m/>
    <m/>
    <m/>
    <m/>
    <m/>
    <n v="0"/>
    <s v="GASOLINA"/>
    <m/>
    <m/>
    <m/>
    <m/>
    <n v="8.8999999999999996E-2"/>
    <m/>
    <m/>
    <m/>
    <m/>
    <m/>
    <n v="0"/>
    <m/>
  </r>
  <r>
    <x v="4"/>
    <x v="2"/>
    <x v="2"/>
    <m/>
    <m/>
    <m/>
    <m/>
    <m/>
    <n v="0"/>
    <m/>
    <m/>
    <m/>
    <m/>
    <m/>
    <n v="0"/>
    <s v="ROMINA"/>
    <m/>
    <m/>
    <m/>
    <m/>
    <n v="0.37"/>
    <m/>
  </r>
  <r>
    <x v="4"/>
    <x v="2"/>
    <x v="3"/>
    <m/>
    <m/>
    <m/>
    <m/>
    <m/>
    <n v="0"/>
    <m/>
    <m/>
    <m/>
    <m/>
    <m/>
    <n v="0"/>
    <m/>
    <m/>
    <m/>
    <m/>
    <m/>
    <n v="0"/>
    <n v="0.3"/>
  </r>
  <r>
    <x v="5"/>
    <x v="1"/>
    <x v="0"/>
    <s v="ALAMBRE"/>
    <m/>
    <m/>
    <m/>
    <m/>
    <n v="0.111"/>
    <m/>
    <m/>
    <m/>
    <m/>
    <m/>
    <n v="0"/>
    <m/>
    <m/>
    <m/>
    <m/>
    <m/>
    <n v="0"/>
    <m/>
  </r>
  <r>
    <x v="5"/>
    <x v="1"/>
    <x v="0"/>
    <s v="CRISTALES"/>
    <m/>
    <m/>
    <m/>
    <m/>
    <n v="0.157"/>
    <m/>
    <m/>
    <m/>
    <m/>
    <m/>
    <n v="0"/>
    <m/>
    <m/>
    <m/>
    <m/>
    <m/>
    <n v="0"/>
    <m/>
  </r>
  <r>
    <x v="5"/>
    <x v="1"/>
    <x v="0"/>
    <s v="BOLSA"/>
    <m/>
    <m/>
    <m/>
    <m/>
    <n v="1.4999999999999999E-2"/>
    <m/>
    <m/>
    <m/>
    <m/>
    <m/>
    <n v="0"/>
    <m/>
    <m/>
    <m/>
    <m/>
    <m/>
    <n v="0"/>
    <m/>
  </r>
  <r>
    <x v="5"/>
    <x v="1"/>
    <x v="0"/>
    <s v="TARJETA"/>
    <m/>
    <m/>
    <m/>
    <m/>
    <n v="0.06"/>
    <m/>
    <m/>
    <m/>
    <m/>
    <m/>
    <n v="0"/>
    <m/>
    <m/>
    <m/>
    <m/>
    <m/>
    <n v="0"/>
    <m/>
  </r>
  <r>
    <x v="5"/>
    <x v="1"/>
    <x v="1"/>
    <m/>
    <m/>
    <m/>
    <m/>
    <m/>
    <n v="0"/>
    <s v="CONTADOR"/>
    <m/>
    <m/>
    <m/>
    <m/>
    <n v="0.501"/>
    <m/>
    <m/>
    <m/>
    <m/>
    <m/>
    <n v="0"/>
    <m/>
  </r>
  <r>
    <x v="5"/>
    <x v="1"/>
    <x v="1"/>
    <m/>
    <m/>
    <m/>
    <m/>
    <m/>
    <n v="0"/>
    <s v="GASOLINA"/>
    <m/>
    <m/>
    <m/>
    <m/>
    <n v="8.8999999999999996E-2"/>
    <m/>
    <m/>
    <m/>
    <m/>
    <m/>
    <n v="0"/>
    <m/>
  </r>
  <r>
    <x v="5"/>
    <x v="1"/>
    <x v="1"/>
    <m/>
    <m/>
    <m/>
    <m/>
    <m/>
    <n v="0"/>
    <s v="INTERNET"/>
    <m/>
    <m/>
    <m/>
    <m/>
    <n v="1.7000000000000001E-2"/>
    <m/>
    <m/>
    <m/>
    <m/>
    <m/>
    <n v="0"/>
    <m/>
  </r>
  <r>
    <x v="5"/>
    <x v="1"/>
    <x v="1"/>
    <m/>
    <m/>
    <m/>
    <m/>
    <m/>
    <n v="0"/>
    <s v="TELÉFONO"/>
    <m/>
    <m/>
    <m/>
    <m/>
    <n v="5.0000000000000001E-3"/>
    <m/>
    <m/>
    <m/>
    <m/>
    <m/>
    <n v="0"/>
    <m/>
  </r>
  <r>
    <x v="5"/>
    <x v="1"/>
    <x v="2"/>
    <m/>
    <m/>
    <m/>
    <m/>
    <m/>
    <n v="0"/>
    <m/>
    <m/>
    <m/>
    <m/>
    <m/>
    <n v="0"/>
    <s v="ROMINA"/>
    <m/>
    <m/>
    <m/>
    <m/>
    <n v="0.875"/>
    <m/>
  </r>
  <r>
    <x v="5"/>
    <x v="1"/>
    <x v="3"/>
    <m/>
    <m/>
    <m/>
    <m/>
    <m/>
    <n v="0"/>
    <m/>
    <m/>
    <m/>
    <m/>
    <m/>
    <n v="0"/>
    <m/>
    <m/>
    <m/>
    <m/>
    <m/>
    <n v="0"/>
    <n v="0.5"/>
  </r>
  <r>
    <x v="6"/>
    <x v="2"/>
    <x v="0"/>
    <s v="ALAMBRE 18"/>
    <m/>
    <m/>
    <m/>
    <m/>
    <n v="0.3"/>
    <m/>
    <m/>
    <m/>
    <m/>
    <m/>
    <n v="0"/>
    <m/>
    <m/>
    <m/>
    <m/>
    <m/>
    <n v="0"/>
    <m/>
  </r>
  <r>
    <x v="6"/>
    <x v="2"/>
    <x v="0"/>
    <s v="ALAMBRE 24"/>
    <m/>
    <m/>
    <m/>
    <m/>
    <n v="0.16200000000000001"/>
    <m/>
    <m/>
    <m/>
    <m/>
    <m/>
    <n v="0"/>
    <m/>
    <m/>
    <m/>
    <m/>
    <m/>
    <n v="0"/>
    <m/>
  </r>
  <r>
    <x v="6"/>
    <x v="2"/>
    <x v="0"/>
    <s v="ALAMBRE 28"/>
    <m/>
    <m/>
    <m/>
    <m/>
    <n v="6.5000000000000002E-2"/>
    <m/>
    <m/>
    <m/>
    <m/>
    <m/>
    <n v="0"/>
    <m/>
    <m/>
    <m/>
    <m/>
    <m/>
    <n v="0"/>
    <m/>
  </r>
  <r>
    <x v="6"/>
    <x v="2"/>
    <x v="0"/>
    <s v="CRISTALES"/>
    <m/>
    <m/>
    <m/>
    <m/>
    <n v="0.214"/>
    <m/>
    <m/>
    <m/>
    <m/>
    <m/>
    <n v="0"/>
    <m/>
    <m/>
    <m/>
    <m/>
    <m/>
    <n v="0"/>
    <m/>
  </r>
  <r>
    <x v="6"/>
    <x v="2"/>
    <x v="0"/>
    <s v="BOLSA"/>
    <m/>
    <m/>
    <m/>
    <m/>
    <n v="1.2999999999999999E-2"/>
    <m/>
    <m/>
    <m/>
    <m/>
    <m/>
    <n v="0"/>
    <m/>
    <m/>
    <m/>
    <m/>
    <m/>
    <n v="0"/>
    <m/>
  </r>
  <r>
    <x v="6"/>
    <x v="2"/>
    <x v="0"/>
    <s v="TARJETA"/>
    <m/>
    <m/>
    <m/>
    <m/>
    <n v="0.06"/>
    <m/>
    <m/>
    <m/>
    <m/>
    <m/>
    <n v="0"/>
    <m/>
    <m/>
    <m/>
    <m/>
    <m/>
    <n v="0"/>
    <m/>
  </r>
  <r>
    <x v="6"/>
    <x v="2"/>
    <x v="1"/>
    <m/>
    <m/>
    <m/>
    <m/>
    <m/>
    <n v="0"/>
    <s v="GASOLINA"/>
    <m/>
    <m/>
    <m/>
    <m/>
    <n v="8.8999999999999996E-2"/>
    <m/>
    <m/>
    <m/>
    <m/>
    <m/>
    <n v="0"/>
    <m/>
  </r>
  <r>
    <x v="6"/>
    <x v="2"/>
    <x v="1"/>
    <m/>
    <m/>
    <m/>
    <m/>
    <m/>
    <n v="0"/>
    <s v="INTERNET"/>
    <m/>
    <m/>
    <m/>
    <m/>
    <n v="1.7000000000000001E-2"/>
    <m/>
    <m/>
    <m/>
    <m/>
    <m/>
    <n v="0"/>
    <m/>
  </r>
  <r>
    <x v="6"/>
    <x v="2"/>
    <x v="1"/>
    <m/>
    <m/>
    <m/>
    <m/>
    <m/>
    <n v="0"/>
    <s v="TELÉFONO"/>
    <m/>
    <m/>
    <m/>
    <m/>
    <n v="5.0000000000000001E-3"/>
    <m/>
    <m/>
    <m/>
    <m/>
    <m/>
    <n v="0"/>
    <m/>
  </r>
  <r>
    <x v="6"/>
    <x v="2"/>
    <x v="1"/>
    <m/>
    <m/>
    <m/>
    <m/>
    <m/>
    <n v="0"/>
    <s v="CONTADOR"/>
    <m/>
    <m/>
    <m/>
    <m/>
    <m/>
    <m/>
    <m/>
    <m/>
    <m/>
    <m/>
    <n v="0"/>
    <m/>
  </r>
  <r>
    <x v="6"/>
    <x v="2"/>
    <x v="2"/>
    <m/>
    <m/>
    <m/>
    <m/>
    <m/>
    <n v="0"/>
    <m/>
    <m/>
    <m/>
    <m/>
    <m/>
    <n v="0"/>
    <s v="ROMINA"/>
    <m/>
    <m/>
    <m/>
    <m/>
    <n v="1.56"/>
    <m/>
  </r>
  <r>
    <x v="6"/>
    <x v="2"/>
    <x v="3"/>
    <m/>
    <m/>
    <m/>
    <m/>
    <m/>
    <n v="0"/>
    <m/>
    <m/>
    <m/>
    <m/>
    <m/>
    <n v="0"/>
    <m/>
    <m/>
    <m/>
    <m/>
    <m/>
    <n v="0"/>
    <n v="0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1C9B4E-4489-4422-BB11-BE6F99F2E421}" name="TablaDiná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A3:E8" firstHeaderRow="0" firstDataRow="1" firstDataCol="1" rowPageCount="1" colPageCount="1"/>
  <pivotFields count="22">
    <pivotField axis="axisPage" multipleItemSelectionAllowed="1" showAll="0">
      <items count="36">
        <item h="1" m="1" x="26"/>
        <item h="1" m="1" x="20"/>
        <item h="1" m="1" x="9"/>
        <item h="1" m="1" x="32"/>
        <item h="1" x="4"/>
        <item h="1" m="1" x="27"/>
        <item h="1" m="1" x="33"/>
        <item h="1" m="1" x="19"/>
        <item h="1" m="1" x="16"/>
        <item h="1" m="1" x="28"/>
        <item h="1" m="1" x="13"/>
        <item h="1" m="1" x="18"/>
        <item h="1" m="1" x="8"/>
        <item h="1" m="1" x="17"/>
        <item h="1" m="1" x="34"/>
        <item h="1" x="2"/>
        <item h="1" m="1" x="21"/>
        <item h="1" m="1" x="29"/>
        <item h="1" m="1" x="30"/>
        <item h="1" m="1" x="31"/>
        <item h="1" m="1" x="15"/>
        <item h="1" m="1" x="14"/>
        <item h="1" m="1" x="23"/>
        <item h="1" m="1" x="10"/>
        <item h="1" m="1" x="25"/>
        <item h="1" m="1" x="24"/>
        <item h="1" x="0"/>
        <item h="1" m="1" x="11"/>
        <item h="1" m="1" x="12"/>
        <item h="1" x="1"/>
        <item h="1" m="1" x="22"/>
        <item x="3"/>
        <item h="1" x="5"/>
        <item h="1" m="1" x="7"/>
        <item h="1" x="6"/>
        <item t="default"/>
      </items>
    </pivotField>
    <pivotField showAll="0">
      <items count="5">
        <item h="1" x="0"/>
        <item h="1" m="1" x="3"/>
        <item x="1"/>
        <item h="1" x="2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numFmtId="2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Materiales" fld="8" baseField="0" baseItem="0" numFmtId="2"/>
    <dataField name="Servicios" fld="14" baseField="0" baseItem="0"/>
    <dataField name="Mano de Obra" fld="20" baseField="0" baseItem="0" numFmtId="2"/>
    <dataField name="% Ganancia" fld="21" baseField="0" baseItem="0"/>
  </dataFields>
  <formats count="4">
    <format dxfId="4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0">
      <pivotArea field="2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9">
      <pivotArea field="2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Producto" xr10:uid="{8B18D67B-AF1D-46EE-A8C3-22C5EC6F215A}" sourceName="nombreProducto">
  <pivotTables>
    <pivotTable tabId="4" name="TablaDinámica1"/>
  </pivotTables>
  <data>
    <tabular pivotCacheId="1201106027">
      <items count="35">
        <i x="3" s="1"/>
        <i x="2"/>
        <i x="1"/>
        <i x="5"/>
        <i x="9" nd="1"/>
        <i x="0" nd="1"/>
        <i x="23" nd="1"/>
        <i x="25" nd="1"/>
        <i x="33" nd="1"/>
        <i x="12" nd="1"/>
        <i x="24" nd="1"/>
        <i x="10" nd="1"/>
        <i x="11" nd="1"/>
        <i x="14" nd="1"/>
        <i x="18" nd="1"/>
        <i x="22" nd="1"/>
        <i x="21" nd="1"/>
        <i x="29" nd="1"/>
        <i x="30" nd="1"/>
        <i x="31" nd="1"/>
        <i x="28" nd="1"/>
        <i x="34" nd="1"/>
        <i x="8" nd="1"/>
        <i x="17" nd="1"/>
        <i x="13" nd="1"/>
        <i x="26" nd="1"/>
        <i x="20" nd="1"/>
        <i x="15" nd="1"/>
        <i x="7" nd="1"/>
        <i x="16" nd="1"/>
        <i x="19" nd="1"/>
        <i x="32" nd="1"/>
        <i x="6" nd="1"/>
        <i x="4" nd="1"/>
        <i x="27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iaProductos" xr10:uid="{A9C64F90-14B0-400C-8EAA-08E90E8B04B6}" sourceName="categoriaProductos">
  <pivotTables>
    <pivotTable tabId="4" name="TablaDinámica1"/>
  </pivotTables>
  <data>
    <tabular pivotCacheId="1201106027">
      <items count="4">
        <i x="1" s="1"/>
        <i x="0" nd="1"/>
        <i x="3" nd="1"/>
        <i x="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Producto" xr10:uid="{FD68DB29-5BC5-46F3-9F0F-A649C3196F96}" cache="SegmentaciónDeDatos_nombreProducto" caption="Producto" rowHeight="234950"/>
  <slicer name="categoriaProductos" xr10:uid="{73232C9D-A72A-4C48-9269-1A1E97C77D75}" cache="SegmentaciónDeDatos_categoriaProductos" caption="Categoría" columnCount="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3F688-8A58-4DEF-8182-B54604A043BC}" name="TablaF_Materiales" displayName="TablaF_Materiales" ref="D3:E16" totalsRowCount="1" headerRowDxfId="64" totalsRowDxfId="62" tableBorderDxfId="63">
  <autoFilter ref="D3:E15" xr:uid="{18C3F688-8A58-4DEF-8182-B54604A043BC}">
    <filterColumn colId="0" hiddenButton="1"/>
    <filterColumn colId="1" hiddenButton="1"/>
  </autoFilter>
  <tableColumns count="2">
    <tableColumn id="1" xr3:uid="{5D77C39B-132C-4160-8AC2-AED6BF6BDBE3}" name="MATERIAL" totalsRowLabel="Total" totalsRowDxfId="61"/>
    <tableColumn id="2" xr3:uid="{67F9B078-7971-4210-877B-9C9A2263ED2A}" name="COSTO($)" totalsRowFunction="sum" totalsRow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601C7A-8305-4EC5-8349-2F695B09C23E}" name="TablaF_Servicios" displayName="TablaF_Servicios" ref="G3:H16" totalsRowCount="1" headerRowDxfId="59" dataDxfId="58" totalsRowDxfId="57">
  <autoFilter ref="G3:H15" xr:uid="{97601C7A-8305-4EC5-8349-2F695B09C23E}">
    <filterColumn colId="0" hiddenButton="1"/>
    <filterColumn colId="1" hiddenButton="1"/>
  </autoFilter>
  <tableColumns count="2">
    <tableColumn id="1" xr3:uid="{B0F4F6B6-2DEC-44E7-8E20-4D4DD4931B3F}" name="SERVICIO" totalsRowLabel="Total" dataDxfId="56" totalsRowDxfId="55"/>
    <tableColumn id="2" xr3:uid="{FED94907-3424-45B2-861F-853E156B063B}" name="COSTO($)" totalsRowFunction="sum" dataDxfId="54" totalsRow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FF6780-146A-4505-9E2E-FCCB68DDA19D}" name="TablaF_ManoDeObra" displayName="TablaF_ManoDeObra" ref="J3:K16" totalsRowCount="1" headerRowDxfId="52" dataDxfId="51" totalsRowDxfId="50">
  <autoFilter ref="J3:K15" xr:uid="{00FF6780-146A-4505-9E2E-FCCB68DDA19D}">
    <filterColumn colId="0" hiddenButton="1"/>
    <filterColumn colId="1" hiddenButton="1"/>
  </autoFilter>
  <tableColumns count="2">
    <tableColumn id="1" xr3:uid="{4BE6947A-A5F2-4D93-8843-0E514FF1EFFE}" name="MANO DE OBRA" totalsRowLabel="Total" dataDxfId="49" totalsRowDxfId="48"/>
    <tableColumn id="2" xr3:uid="{D1EF3DFB-AA71-407B-AEF5-6C727B011AC1}" name="COSTO($)" totalsRowFunction="sum" dataDxfId="47" totalsRow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94DF17-1041-4CA6-8D43-40AADBB5419D}" name="FactTable" displayName="FactTable" ref="A1:V58" totalsRowShown="0">
  <tableColumns count="22">
    <tableColumn id="2" xr3:uid="{A6182862-EC1B-45D3-9D31-078C867C7965}" name="nombreProducto"/>
    <tableColumn id="25" xr3:uid="{1EC34B0C-AE65-4EA5-9B56-398CB1480078}" name="categoriaProductos"/>
    <tableColumn id="15" xr3:uid="{FBB92DE1-2FA9-49F7-9466-770ABBF4C16A}" name="categoriaCostos"/>
    <tableColumn id="3" xr3:uid="{6FDE0818-B623-4540-BA06-B14D376C728F}" name="descripcionMaterial"/>
    <tableColumn id="4" xr3:uid="{B8C5D490-BE86-4EB4-A5DC-7712025E80D2}" name="unidadMaterial"/>
    <tableColumn id="5" xr3:uid="{12C22DBC-884B-47DF-B5B8-CEC302FBEC6E}" name="unidadUsadaMaterial"/>
    <tableColumn id="6" xr3:uid="{002D3424-4730-4C86-AF47-1321E50B729B}" name="costoMaterial$"/>
    <tableColumn id="7" xr3:uid="{E3977A5C-FCCE-4AA7-B109-8629C54AA318}" name="cantidadUsadaMaterial"/>
    <tableColumn id="9" xr3:uid="{D652C943-3AF8-4143-8E88-8BE8C3C821E7}" name="costoMaterialProducto" dataDxfId="45">
      <calculatedColumnFormula>IFERROR(FactTable[[#This Row],[cantidadUsadaMaterial]]*FactTable[[#This Row],[costoMaterial$]]/FactTable[[#This Row],[unidadUsadaMaterial]],0)</calculatedColumnFormula>
    </tableColumn>
    <tableColumn id="10" xr3:uid="{72F7241A-CA94-4D51-BD7E-223020888366}" name="descripcionServicio"/>
    <tableColumn id="12" xr3:uid="{093FB819-F1F3-47D9-83F2-6E292D7BDC0F}" name="unidadServicio"/>
    <tableColumn id="13" xr3:uid="{F337E8A7-1EEC-4335-B0C3-F5D12AA7B401}" name="unidadUsadaServicio"/>
    <tableColumn id="11" xr3:uid="{A4674FBF-C8EA-4B84-9461-40C8FBB54546}" name="costoServicio$"/>
    <tableColumn id="23" xr3:uid="{8230423E-D643-4319-9152-3CC5BC23F43E}" name="cantidadUsadaServicio"/>
    <tableColumn id="14" xr3:uid="{6FA3A063-6C5A-4515-9817-2F09BE6BFDED}" name="costoServicioProducto" dataDxfId="44">
      <calculatedColumnFormula>IFERROR(FactTable[[#This Row],[cantidadUsadaServicio]]*FactTable[[#This Row],[costoServicio$]]/FactTable[[#This Row],[unidadUsadaServicio]],0)</calculatedColumnFormula>
    </tableColumn>
    <tableColumn id="16" xr3:uid="{0A907506-BA5F-4CA6-9088-38E6D95E30D7}" name="descripcionManoObra"/>
    <tableColumn id="17" xr3:uid="{959180D1-FF73-4CA5-B505-19B813CBEFA6}" name="unidadManoObra"/>
    <tableColumn id="18" xr3:uid="{99E8A21A-E5A6-4C47-84B7-7E2F653DDB3E}" name="unidadUsadaManoObra"/>
    <tableColumn id="19" xr3:uid="{5DBC3E7C-4110-45B6-9A2D-3FF3DCACD809}" name="costoManoObra$"/>
    <tableColumn id="21" xr3:uid="{B23E569C-366B-4BE6-B473-C41DD98239EF}" name="cantidadUsadaManoObra"/>
    <tableColumn id="20" xr3:uid="{1F1F38A5-3119-4FD0-A036-6D3FBFE9F35A}" name="costoManoObraProducto" dataDxfId="43">
      <calculatedColumnFormula>IFERROR(FactTable[[#This Row],[cantidadUsadaManoObra]]*FactTable[[#This Row],[costoManoObra$]]/FactTable[[#This Row],[unidadUsadaManoObra]],0)</calculatedColumnFormula>
    </tableColumn>
    <tableColumn id="24" xr3:uid="{2FD160AA-2505-462B-B458-1E55FCFC64F8}" name="% Margen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2580DC-9A0F-4A38-8A68-EBB569C4A11A}" name="Tabla4" displayName="Tabla4" ref="G3:H6" totalsRowShown="0" headerRowDxfId="38">
  <autoFilter ref="G3:H6" xr:uid="{152580DC-9A0F-4A38-8A68-EBB569C4A11A}"/>
  <tableColumns count="2">
    <tableColumn id="1" xr3:uid="{82B54708-5DF1-4308-9291-39BE55175FBC}" name="Indicador"/>
    <tableColumn id="2" xr3:uid="{75DAF0CF-F51A-4455-AABB-42EFCA34DD99}" name="Valor" dataDxfId="37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599026A-6570-47F9-AE35-F0FDF85313A6}" name="Tabla5" displayName="Tabla5" ref="J3:K6" totalsRowShown="0">
  <autoFilter ref="J3:K6" xr:uid="{F599026A-6570-47F9-AE35-F0FDF85313A6}"/>
  <tableColumns count="2">
    <tableColumn id="1" xr3:uid="{F1C8DE24-625A-4EBD-8378-9C67562F939B}" name="Indicador"/>
    <tableColumn id="2" xr3:uid="{CFD8E4F8-F806-42C6-A73E-6EFA52CD3561}" name="Valor" dataDxfId="36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36B4E8-E4A7-4799-83D8-FD4052B65870}" name="MaestroUnidades" displayName="MaestroUnidades" ref="A1:D22" totalsRowShown="0" headerRowDxfId="35" dataDxfId="34">
  <autoFilter ref="A1:D22" xr:uid="{3136B4E8-E4A7-4799-83D8-FD4052B65870}"/>
  <sortState xmlns:xlrd2="http://schemas.microsoft.com/office/spreadsheetml/2017/richdata2" ref="A4:D20">
    <sortCondition ref="D1:D20"/>
  </sortState>
  <tableColumns count="4">
    <tableColumn id="2" xr3:uid="{0958A159-E46C-425D-9203-5DD0F1886FD8}" name="TIPO DE MEDIDA" dataDxfId="33"/>
    <tableColumn id="1" xr3:uid="{E1A683EB-EE64-45BC-9626-90EF28F9D8EC}" name="UNIDADES" dataDxfId="32"/>
    <tableColumn id="4" xr3:uid="{79D4A729-AFF7-45E8-B9A1-FF1356E622DD}" name="TIPO DE MEDIDA CON EJEMPLO" dataDxfId="31"/>
    <tableColumn id="5" xr3:uid="{BC6A7262-7D1D-4DEF-B12A-AA80E287FA5C}" name="ORDENAR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4BC01B3-6066-44E3-9DF1-3746F2802D86}" name="MaestroMateriales" displayName="MaestroMateriales" ref="A1:G28" totalsRowShown="0" headerRowDxfId="29" dataDxfId="28">
  <autoFilter ref="A1:G28" xr:uid="{04BC01B3-6066-44E3-9DF1-3746F2802D86}"/>
  <sortState xmlns:xlrd2="http://schemas.microsoft.com/office/spreadsheetml/2017/richdata2" ref="A2:G28">
    <sortCondition ref="A1:A28"/>
  </sortState>
  <tableColumns count="7">
    <tableColumn id="1" xr3:uid="{1B2EB763-6053-4247-A4D7-F9836FFA73EA}" name="MATERIAL" dataDxfId="27"/>
    <tableColumn id="2" xr3:uid="{3482D2CF-B368-4191-91D2-676ECD1A621F}" name="TIPO DE MEDIDA" dataDxfId="26"/>
    <tableColumn id="3" xr3:uid="{C67EF1B5-A9B0-4212-A109-5F8EEDE51D15}" name="MEDIDA DE COSTO" dataDxfId="25"/>
    <tableColumn id="4" xr3:uid="{44E19CED-6E78-4420-9CAE-89CDDDAE05BF}" name="CANTIDAD COMPRADA" dataDxfId="24"/>
    <tableColumn id="5" xr3:uid="{EE4D61C4-3D8B-494D-9A5E-C2E4D627CCCF}" name="MEDIDA DE USO" dataDxfId="23"/>
    <tableColumn id="6" xr3:uid="{312A5358-58F4-4DBF-9258-110FFC9621BF}" name="CANTIDAD DE USO" dataDxfId="22"/>
    <tableColumn id="7" xr3:uid="{BD82A5E5-D017-492B-8AD2-228E552C3F2D}" name="PRECIO" dataDxfId="2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322BBA-254E-4DB5-AB50-49026C651892}" name="MaestroServicios" displayName="MaestroServicios" ref="A1:G5" totalsRowShown="0" headerRowDxfId="20" dataDxfId="19">
  <tableColumns count="7">
    <tableColumn id="1" xr3:uid="{B4545FC2-4B1B-41F4-BD0A-36DA34F4E563}" name="SERVICIO" dataDxfId="18"/>
    <tableColumn id="5" xr3:uid="{848885E0-3C0E-4EFE-885A-9E6B3332F0D5}" name="TIPO DE MEDIDA" dataDxfId="17"/>
    <tableColumn id="6" xr3:uid="{1AF22CFC-1EB5-4ABF-842F-FFAEF84785D8}" name="MEDIDA DE COSTO" dataDxfId="16"/>
    <tableColumn id="9" xr3:uid="{6F716731-9558-4D76-A50C-AB4BCE128D3A}" name="CANTIDAD COMPRADA" dataDxfId="15"/>
    <tableColumn id="8" xr3:uid="{F542FE7D-24FB-4ED9-8E4D-EB016D364745}" name="MEDIDA DE USO" dataDxfId="14"/>
    <tableColumn id="7" xr3:uid="{4298E081-E2D7-4CF5-87CE-F7FB1C504E6F}" name="CANTIDAD DE USO" dataDxfId="13"/>
    <tableColumn id="2" xr3:uid="{EF5740F7-4F1C-46C8-8F26-5581F288F70A}" name="PRECIO" dataDxfId="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90C0B8-09EB-4AD3-83AB-914C9FC81D47}" name="MaestroManoDeObra" displayName="MaestroManoDeObra" ref="A1:G3" totalsRowShown="0" headerRowDxfId="11" dataDxfId="10">
  <tableColumns count="7">
    <tableColumn id="2" xr3:uid="{CF8293A7-FCFB-462B-87C6-7ADECB3E3EC8}" name="MANO DE OBRA" dataDxfId="9"/>
    <tableColumn id="6" xr3:uid="{0995AFE9-7562-4B65-BFE2-752911DBADA5}" name="TIPO DE MEDIDA" dataDxfId="8"/>
    <tableColumn id="3" xr3:uid="{FDF6BEDD-F402-4A7C-8BF8-8F439C83287F}" name="MEDIDA DE COSTO" dataDxfId="7"/>
    <tableColumn id="4" xr3:uid="{26F46A0E-7E73-4C52-BE29-04F5CD56B892}" name="CANTIDAD COMPRADA" dataDxfId="6"/>
    <tableColumn id="1" xr3:uid="{61170B82-50AE-4ED2-BB24-A1340F4D822E}" name="MEDIDA DE USO" dataDxfId="5"/>
    <tableColumn id="5" xr3:uid="{E514F6DC-DAE1-47A7-9548-65CD146A0B26}" name="CANTIDAD DE USO" dataDxfId="4"/>
    <tableColumn id="7" xr3:uid="{F6BBE82E-1C1A-4488-A92D-8E6BE43B76F9}" name="PRECIO" dataDxf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59379-AFD8-4292-B689-A335C36E3551}" name="MaestroCategorias" displayName="MaestroCategorias" ref="A1:A7" totalsRowShown="0" headerRowDxfId="2" dataDxfId="1">
  <autoFilter ref="A1:A7" xr:uid="{C9559379-AFD8-4292-B689-A335C36E3551}"/>
  <tableColumns count="1">
    <tableColumn id="1" xr3:uid="{02001C19-3BE2-4C7C-98A6-3936C05D736A}" name="CATEGORIA" dataDxfId="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3F5A1C-88C4-4F9C-9884-F9C70CB49814}" name="Errores" displayName="Errores" ref="A1:C2" insertRow="1" totalsRowShown="0">
  <autoFilter ref="A1:C2" xr:uid="{3E3F5A1C-88C4-4F9C-9884-F9C70CB49814}"/>
  <tableColumns count="3">
    <tableColumn id="1" xr3:uid="{E288FD7C-2D92-4A56-BB85-44C9B9451D3E}" name="Numero"/>
    <tableColumn id="2" xr3:uid="{168903CB-8AEA-4798-AD73-5200EC5A96AF}" name="Descripcion"/>
    <tableColumn id="3" xr3:uid="{0ED69B66-EFAD-482B-AE9D-C903D373397C}" name="Subru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1C80-C889-453E-8C32-F49AB752F0EC}">
  <sheetPr codeName="Hoja3"/>
  <dimension ref="B1:M33"/>
  <sheetViews>
    <sheetView showGridLines="0" showRowColHeaders="0" tabSelected="1" zoomScaleNormal="100" workbookViewId="0">
      <selection activeCell="D4" sqref="D4"/>
    </sheetView>
  </sheetViews>
  <sheetFormatPr baseColWidth="10" defaultRowHeight="14.4" x14ac:dyDescent="0.3"/>
  <cols>
    <col min="1" max="1" width="3.33203125" customWidth="1"/>
    <col min="2" max="2" width="39.88671875" customWidth="1"/>
    <col min="3" max="3" width="4.33203125" customWidth="1"/>
    <col min="4" max="4" width="22.6640625" customWidth="1"/>
    <col min="5" max="5" width="17.6640625" customWidth="1"/>
    <col min="6" max="6" width="3.33203125" customWidth="1"/>
    <col min="7" max="7" width="16.88671875" customWidth="1"/>
    <col min="8" max="8" width="16.33203125" customWidth="1"/>
    <col min="9" max="9" width="3.44140625" customWidth="1"/>
    <col min="10" max="10" width="23.6640625" customWidth="1"/>
    <col min="11" max="11" width="15.88671875" customWidth="1"/>
    <col min="12" max="12" width="3" customWidth="1"/>
    <col min="13" max="13" width="24.33203125" bestFit="1" customWidth="1"/>
  </cols>
  <sheetData>
    <row r="1" spans="2:13" ht="40.950000000000003" customHeight="1" x14ac:dyDescent="0.3">
      <c r="M1" s="19"/>
    </row>
    <row r="2" spans="2:13" ht="6" customHeight="1" x14ac:dyDescent="0.3"/>
    <row r="3" spans="2:13" ht="23.4" customHeight="1" thickBot="1" x14ac:dyDescent="0.35">
      <c r="B3" s="10" t="s">
        <v>30</v>
      </c>
      <c r="C3" s="11"/>
      <c r="D3" s="20" t="s">
        <v>31</v>
      </c>
      <c r="E3" s="20" t="s">
        <v>32</v>
      </c>
      <c r="G3" s="20" t="s">
        <v>33</v>
      </c>
      <c r="H3" s="20" t="s">
        <v>32</v>
      </c>
      <c r="J3" s="20" t="s">
        <v>34</v>
      </c>
      <c r="K3" s="20" t="s">
        <v>32</v>
      </c>
      <c r="M3" s="15" t="s">
        <v>31</v>
      </c>
    </row>
    <row r="4" spans="2:13" ht="19.2" thickBot="1" x14ac:dyDescent="0.5">
      <c r="B4" s="13" t="s">
        <v>110</v>
      </c>
      <c r="C4" s="12"/>
      <c r="D4" s="25" t="s">
        <v>48</v>
      </c>
      <c r="E4" s="22">
        <v>0.13200000000000001</v>
      </c>
      <c r="G4" s="25" t="s">
        <v>54</v>
      </c>
      <c r="H4" s="22">
        <v>2.1999999999999999E-2</v>
      </c>
      <c r="J4" s="25" t="s">
        <v>52</v>
      </c>
      <c r="K4" s="22">
        <v>2.5</v>
      </c>
      <c r="M4" s="17">
        <f>+TablaF_Materiales[[#Totals],[COSTO($)]]</f>
        <v>0.27900000000000003</v>
      </c>
    </row>
    <row r="5" spans="2:13" ht="17.399999999999999" x14ac:dyDescent="0.45">
      <c r="D5" s="25" t="s">
        <v>60</v>
      </c>
      <c r="E5" s="22">
        <v>6.7000000000000004E-2</v>
      </c>
      <c r="G5" s="25"/>
      <c r="H5" s="22"/>
      <c r="J5" s="25"/>
      <c r="K5" s="22"/>
    </row>
    <row r="6" spans="2:13" ht="25.2" customHeight="1" thickBot="1" x14ac:dyDescent="0.5">
      <c r="B6" s="10" t="s">
        <v>36</v>
      </c>
      <c r="D6" s="25" t="s">
        <v>47</v>
      </c>
      <c r="E6" s="22">
        <v>0.08</v>
      </c>
      <c r="G6" s="25"/>
      <c r="H6" s="22"/>
      <c r="J6" s="25"/>
      <c r="K6" s="22"/>
      <c r="M6" s="15" t="s">
        <v>33</v>
      </c>
    </row>
    <row r="7" spans="2:13" ht="19.95" customHeight="1" thickBot="1" x14ac:dyDescent="0.5">
      <c r="B7" s="16" t="s">
        <v>53</v>
      </c>
      <c r="D7" s="25"/>
      <c r="E7" s="22"/>
      <c r="G7" s="25"/>
      <c r="H7" s="22"/>
      <c r="J7" s="25"/>
      <c r="K7" s="22"/>
      <c r="M7" s="17">
        <f>+TablaF_Servicios[[#Totals],[COSTO($)]]</f>
        <v>2.1999999999999999E-2</v>
      </c>
    </row>
    <row r="8" spans="2:13" ht="17.399999999999999" x14ac:dyDescent="0.45">
      <c r="D8" s="25"/>
      <c r="E8" s="22"/>
      <c r="G8" s="25"/>
      <c r="H8" s="22"/>
      <c r="J8" s="21"/>
      <c r="K8" s="22"/>
    </row>
    <row r="9" spans="2:13" ht="25.2" customHeight="1" thickBot="1" x14ac:dyDescent="0.5">
      <c r="B9" s="10" t="s">
        <v>37</v>
      </c>
      <c r="D9" s="25"/>
      <c r="E9" s="22"/>
      <c r="G9" s="25"/>
      <c r="H9" s="22"/>
      <c r="J9" s="21"/>
      <c r="K9" s="22"/>
      <c r="M9" s="15" t="s">
        <v>34</v>
      </c>
    </row>
    <row r="10" spans="2:13" ht="19.2" thickBot="1" x14ac:dyDescent="0.5">
      <c r="B10" s="16">
        <v>0.3</v>
      </c>
      <c r="E10" s="22"/>
      <c r="G10" s="21"/>
      <c r="H10" s="22"/>
      <c r="J10" s="21"/>
      <c r="K10" s="22"/>
      <c r="M10" s="17">
        <f>+TablaF_ManoDeObra[[#Totals],[COSTO($)]]</f>
        <v>2.5</v>
      </c>
    </row>
    <row r="11" spans="2:13" ht="17.399999999999999" x14ac:dyDescent="0.45">
      <c r="E11" s="22"/>
      <c r="G11" s="21"/>
      <c r="H11" s="22"/>
      <c r="J11" s="21"/>
      <c r="K11" s="22"/>
    </row>
    <row r="12" spans="2:13" ht="21.6" thickBot="1" x14ac:dyDescent="0.5">
      <c r="E12" s="22"/>
      <c r="G12" s="21"/>
      <c r="H12" s="22"/>
      <c r="J12" s="21"/>
      <c r="K12" s="22"/>
      <c r="M12" s="15" t="s">
        <v>39</v>
      </c>
    </row>
    <row r="13" spans="2:13" ht="19.2" thickBot="1" x14ac:dyDescent="0.5">
      <c r="B13" s="18" t="s">
        <v>110</v>
      </c>
      <c r="E13" s="22"/>
      <c r="G13" s="21"/>
      <c r="H13" s="22"/>
      <c r="J13" s="21"/>
      <c r="K13" s="22"/>
      <c r="M13" s="17">
        <f>+M4+M7+M10</f>
        <v>2.8010000000000002</v>
      </c>
    </row>
    <row r="14" spans="2:13" ht="17.399999999999999" x14ac:dyDescent="0.45">
      <c r="E14" s="22"/>
      <c r="G14" s="21"/>
      <c r="H14" s="22"/>
      <c r="J14" s="21"/>
      <c r="K14" s="22"/>
    </row>
    <row r="15" spans="2:13" ht="23.4" customHeight="1" thickBot="1" x14ac:dyDescent="0.5">
      <c r="E15" s="22"/>
      <c r="G15" s="21"/>
      <c r="H15" s="22"/>
      <c r="J15" s="21"/>
      <c r="K15" s="22"/>
      <c r="M15" s="15" t="s">
        <v>40</v>
      </c>
    </row>
    <row r="16" spans="2:13" ht="29.4" customHeight="1" thickBot="1" x14ac:dyDescent="0.5">
      <c r="D16" s="21" t="s">
        <v>35</v>
      </c>
      <c r="E16" s="22">
        <f>SUBTOTAL(109,TablaF_Materiales[COSTO($)])</f>
        <v>0.27900000000000003</v>
      </c>
      <c r="G16" s="23" t="s">
        <v>35</v>
      </c>
      <c r="H16" s="24">
        <f>SUBTOTAL(109,TablaF_Servicios[COSTO($)])</f>
        <v>2.1999999999999999E-2</v>
      </c>
      <c r="J16" s="21" t="s">
        <v>35</v>
      </c>
      <c r="K16" s="22">
        <f>SUBTOTAL(109,TablaF_ManoDeObra[COSTO($)])</f>
        <v>2.5</v>
      </c>
      <c r="M16" s="17">
        <f>M13*(1+B10)</f>
        <v>3.6413000000000002</v>
      </c>
    </row>
    <row r="17" spans="2:11" ht="10.199999999999999" customHeight="1" x14ac:dyDescent="0.3"/>
    <row r="26" spans="2:11" x14ac:dyDescent="0.3">
      <c r="B26" s="27"/>
      <c r="D26" s="7"/>
    </row>
    <row r="27" spans="2:11" x14ac:dyDescent="0.3">
      <c r="B27" s="27"/>
      <c r="D27" s="7"/>
    </row>
    <row r="28" spans="2:11" x14ac:dyDescent="0.3">
      <c r="B28" s="27"/>
      <c r="D28" s="7"/>
    </row>
    <row r="29" spans="2:11" x14ac:dyDescent="0.3">
      <c r="B29" s="27"/>
      <c r="D29" s="7"/>
    </row>
    <row r="30" spans="2:11" ht="15" thickBot="1" x14ac:dyDescent="0.35"/>
    <row r="31" spans="2:11" ht="18.600000000000001" x14ac:dyDescent="0.3">
      <c r="J31" s="28" t="s">
        <v>31</v>
      </c>
      <c r="K31" s="31">
        <f>$E$16</f>
        <v>0.27900000000000003</v>
      </c>
    </row>
    <row r="32" spans="2:11" ht="18.600000000000001" x14ac:dyDescent="0.3">
      <c r="J32" s="29" t="s">
        <v>33</v>
      </c>
      <c r="K32" s="32">
        <f>$H$16</f>
        <v>2.1999999999999999E-2</v>
      </c>
    </row>
    <row r="33" spans="10:11" ht="19.2" thickBot="1" x14ac:dyDescent="0.35">
      <c r="J33" s="30" t="s">
        <v>34</v>
      </c>
      <c r="K33" s="33">
        <f>$K$16</f>
        <v>2.5</v>
      </c>
    </row>
  </sheetData>
  <sheetProtection formatCells="0" formatColumns="0" formatRows="0" insertColumns="0" insertRows="0" insertHyperlinks="0" deleteColumns="0" deleteRows="0" sort="0" autoFilter="0" pivotTables="0"/>
  <dataValidations count="5">
    <dataValidation type="list" allowBlank="1" showInputMessage="1" showErrorMessage="1" sqref="B13" xr:uid="{053BEF4C-43CB-4666-94B1-01B6E007DFF6}">
      <formula1>"COLLAR DE PERLAS,PULSERA DE HOMBRE,PULSERA MINIMALISTA,PULSERA OVALADA,PULSERA ROMI,ZARCILLOS LIS,ZARCILLOS SOLITARIO"</formula1>
    </dataValidation>
    <dataValidation type="list" allowBlank="1" showInputMessage="1" showErrorMessage="1" sqref="D4 D5 D6 D7 D8 D9 D10 D11 D12 D13 D14 D15" xr:uid="{E2B2C222-B2E2-43F8-91BE-66BCF9A338B5}">
      <formula1>"ALAMBRE,ALAMBRE 18,ALAMBRE 20,ALAMBRE 22,ALAMBRE 24,ALAMBRE 28,ARGOLLAS,BALIN 3MM,BALINES,BOLSA,BROCHE,CRISTALES,CRUZ,CUERO,DIJE PLATA,GRAPAS,GUAYA,HILO CHINO,MOSTACILLA CALIBRADA,PERLAS,PIEDRAS CUARZO,PIEDRAS ROJAS,TAPA NUDOS,TAPAS,TARJETA,TERLENCA,VITELA"</formula1>
    </dataValidation>
    <dataValidation type="list" allowBlank="1" showInputMessage="1" showErrorMessage="1" sqref="G4 G5 G6 G7 G8 G9 G10 G11 G12 G13 G14 G15" xr:uid="{83D7A8A9-A46B-4854-A620-E338BFAF0FD9}">
      <formula1>"CONTADOR,GASOLINA,INTERNET,TELÉFONO"</formula1>
    </dataValidation>
    <dataValidation type="list" allowBlank="1" showInputMessage="1" showErrorMessage="1" sqref="J4 J5 J6 J7 J8 J9 J10 J11 J12 J13 J14 J15" xr:uid="{1A53DB02-46E1-49FB-82C6-D1845020CCD2}">
      <formula1>"PETRA,ROMINA"</formula1>
    </dataValidation>
    <dataValidation type="list" allowBlank="1" showInputMessage="1" showErrorMessage="1" sqref="B7" xr:uid="{2BA7ED4D-B741-436C-BB2B-C46CC3F5BEFE}">
      <formula1>"COLLAR,COLLARES,PULSERAS,ROSARIO,ZARCILLOS,ZARCILLOS LIS"</formula1>
    </dataValidation>
  </dataValidations>
  <hyperlinks>
    <hyperlink ref="D4" display="ALAMBRE" xr:uid="{6DA47A81-B9AC-479C-9997-1458EFD8F4C6}"/>
    <hyperlink ref="D5" display="BOLSA" xr:uid="{84968BBF-4E9F-45A0-9BA2-E9346C3E8133}"/>
    <hyperlink ref="D6" display="TARJETA" xr:uid="{BAB4A339-04A6-45FE-948D-8F8FA323563E}"/>
    <hyperlink ref="G4" display="TELÉFONO" xr:uid="{7A01559B-F87E-4B65-A328-CD6A4CE137EF}"/>
    <hyperlink ref="J4" display="ROMINA" xr:uid="{575DF976-F450-443F-BC47-2E0918C80010}"/>
  </hyperlink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A76DC-76F2-4FF7-BC6C-BF51139971FF}">
  <sheetPr codeName="Hoja2"/>
  <dimension ref="A1"/>
  <sheetViews>
    <sheetView showGridLines="0" zoomScaleNormal="100" workbookViewId="0">
      <selection activeCell="N9" sqref="N9"/>
    </sheetView>
  </sheetViews>
  <sheetFormatPr baseColWidth="10" defaultRowHeight="14.4" x14ac:dyDescent="0.3"/>
  <cols>
    <col min="1" max="1" width="3.33203125" customWidth="1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251B-51E5-4BA7-977C-E8C4E979EE8A}">
  <sheetPr codeName="Hoja5"/>
  <dimension ref="A1:V58"/>
  <sheetViews>
    <sheetView workbookViewId="0">
      <pane ySplit="1" topLeftCell="A28" activePane="bottomLeft" state="frozen"/>
      <selection pane="bottomLeft" activeCell="D1" sqref="D1"/>
    </sheetView>
  </sheetViews>
  <sheetFormatPr baseColWidth="10" defaultRowHeight="14.4" x14ac:dyDescent="0.3"/>
  <cols>
    <col min="1" max="1" width="35.44140625" customWidth="1"/>
    <col min="2" max="2" width="21.44140625" customWidth="1"/>
    <col min="3" max="3" width="19.33203125" customWidth="1"/>
    <col min="4" max="4" width="22.33203125" customWidth="1"/>
    <col min="5" max="5" width="21.5546875" customWidth="1"/>
    <col min="6" max="6" width="23.6640625" customWidth="1"/>
    <col min="7" max="7" width="23.33203125" customWidth="1"/>
    <col min="8" max="8" width="18.44140625" bestFit="1" customWidth="1"/>
    <col min="9" max="9" width="22.5546875" customWidth="1"/>
    <col min="10" max="10" width="19.44140625" bestFit="1" customWidth="1"/>
    <col min="11" max="12" width="19.44140625" customWidth="1"/>
    <col min="13" max="13" width="16" bestFit="1" customWidth="1"/>
    <col min="14" max="14" width="16" customWidth="1"/>
    <col min="15" max="15" width="21.44140625" bestFit="1" customWidth="1"/>
    <col min="16" max="16" width="22" bestFit="1" customWidth="1"/>
    <col min="17" max="17" width="18.33203125" bestFit="1" customWidth="1"/>
    <col min="18" max="18" width="19.6640625" bestFit="1" customWidth="1"/>
    <col min="19" max="19" width="17.88671875" bestFit="1" customWidth="1"/>
    <col min="20" max="20" width="27.6640625" bestFit="1" customWidth="1"/>
    <col min="21" max="21" width="24.88671875" bestFit="1" customWidth="1"/>
  </cols>
  <sheetData>
    <row r="1" spans="1:22" x14ac:dyDescent="0.3">
      <c r="A1" t="s">
        <v>27</v>
      </c>
      <c r="B1" t="s">
        <v>29</v>
      </c>
      <c r="C1" t="s">
        <v>28</v>
      </c>
      <c r="D1" s="1" t="s">
        <v>14</v>
      </c>
      <c r="E1" s="1" t="s">
        <v>3</v>
      </c>
      <c r="F1" s="1" t="s">
        <v>90</v>
      </c>
      <c r="G1" s="1" t="s">
        <v>5</v>
      </c>
      <c r="H1" t="s">
        <v>87</v>
      </c>
      <c r="I1" s="2" t="s">
        <v>8</v>
      </c>
      <c r="J1" s="1" t="s">
        <v>4</v>
      </c>
      <c r="K1" s="1" t="s">
        <v>6</v>
      </c>
      <c r="L1" s="1" t="s">
        <v>91</v>
      </c>
      <c r="M1" s="1" t="s">
        <v>7</v>
      </c>
      <c r="N1" t="s">
        <v>88</v>
      </c>
      <c r="O1" t="s">
        <v>13</v>
      </c>
      <c r="P1" s="1" t="s">
        <v>9</v>
      </c>
      <c r="Q1" s="1" t="s">
        <v>10</v>
      </c>
      <c r="R1" s="1" t="s">
        <v>92</v>
      </c>
      <c r="S1" s="1" t="s">
        <v>11</v>
      </c>
      <c r="T1" t="s">
        <v>89</v>
      </c>
      <c r="U1" t="s">
        <v>12</v>
      </c>
      <c r="V1" t="s">
        <v>16</v>
      </c>
    </row>
    <row r="2" spans="1:22" x14ac:dyDescent="0.3">
      <c r="A2" t="s">
        <v>49</v>
      </c>
      <c r="B2" t="s">
        <v>57</v>
      </c>
      <c r="C2" t="s">
        <v>0</v>
      </c>
      <c r="D2" t="s">
        <v>50</v>
      </c>
      <c r="I2" s="3">
        <v>1.25</v>
      </c>
      <c r="O2">
        <f>IFERROR(FactTable[[#This Row],[cantidadUsadaServicio]]*FactTable[[#This Row],[costoServicio$]]/FactTable[[#This Row],[unidadUsadaServicio]],0)</f>
        <v>0</v>
      </c>
      <c r="U2" s="3">
        <f>IFERROR(FactTable[[#This Row],[cantidadUsadaManoObra]]*FactTable[[#This Row],[costoManoObra$]]/FactTable[[#This Row],[unidadUsadaManoObra]],0)</f>
        <v>0</v>
      </c>
    </row>
    <row r="3" spans="1:22" x14ac:dyDescent="0.3">
      <c r="A3" t="s">
        <v>49</v>
      </c>
      <c r="B3" t="s">
        <v>57</v>
      </c>
      <c r="C3" t="s">
        <v>0</v>
      </c>
      <c r="D3" t="s">
        <v>48</v>
      </c>
      <c r="I3" s="3">
        <v>2</v>
      </c>
      <c r="O3">
        <f>IFERROR(FactTable[[#This Row],[cantidadUsadaServicio]]*FactTable[[#This Row],[costoServicio$]]/FactTable[[#This Row],[unidadUsadaServicio]],0)</f>
        <v>0</v>
      </c>
      <c r="U3" s="3">
        <f>IFERROR(FactTable[[#This Row],[cantidadUsadaManoObra]]*FactTable[[#This Row],[costoManoObra$]]/FactTable[[#This Row],[unidadUsadaManoObra]],0)</f>
        <v>0</v>
      </c>
    </row>
    <row r="4" spans="1:22" x14ac:dyDescent="0.3">
      <c r="A4" t="s">
        <v>49</v>
      </c>
      <c r="B4" t="s">
        <v>57</v>
      </c>
      <c r="C4" t="s">
        <v>1</v>
      </c>
      <c r="I4" s="3">
        <f>IFERROR(FactTable[[#This Row],[cantidadUsadaMaterial]]*FactTable[[#This Row],[costoMaterial$]]/FactTable[[#This Row],[unidadUsadaMaterial]],0)</f>
        <v>0</v>
      </c>
      <c r="J4" t="s">
        <v>56</v>
      </c>
      <c r="O4">
        <v>0.25</v>
      </c>
      <c r="U4" s="3">
        <f>IFERROR(FactTable[[#This Row],[cantidadUsadaManoObra]]*FactTable[[#This Row],[costoManoObra$]]/FactTable[[#This Row],[unidadUsadaManoObra]],0)</f>
        <v>0</v>
      </c>
    </row>
    <row r="5" spans="1:22" x14ac:dyDescent="0.3">
      <c r="A5" t="s">
        <v>49</v>
      </c>
      <c r="B5" t="s">
        <v>57</v>
      </c>
      <c r="C5" t="s">
        <v>1</v>
      </c>
      <c r="I5" s="3">
        <f>IFERROR(FactTable[[#This Row],[cantidadUsadaMaterial]]*FactTable[[#This Row],[costoMaterial$]]/FactTable[[#This Row],[unidadUsadaMaterial]],0)</f>
        <v>0</v>
      </c>
      <c r="J5" t="s">
        <v>51</v>
      </c>
      <c r="O5">
        <v>0.2</v>
      </c>
      <c r="U5" s="3">
        <f>IFERROR(FactTable[[#This Row],[cantidadUsadaManoObra]]*FactTable[[#This Row],[costoManoObra$]]/FactTable[[#This Row],[unidadUsadaManoObra]],0)</f>
        <v>0</v>
      </c>
    </row>
    <row r="6" spans="1:22" x14ac:dyDescent="0.3">
      <c r="A6" t="s">
        <v>49</v>
      </c>
      <c r="B6" t="s">
        <v>57</v>
      </c>
      <c r="C6" t="s">
        <v>2</v>
      </c>
      <c r="I6" s="3">
        <f>IFERROR(FactTable[[#This Row],[cantidadUsadaMaterial]]*FactTable[[#This Row],[costoMaterial$]]/FactTable[[#This Row],[unidadUsadaMaterial]],0)</f>
        <v>0</v>
      </c>
      <c r="O6">
        <f>IFERROR(FactTable[[#This Row],[cantidadUsadaServicio]]*FactTable[[#This Row],[costoServicio$]]/FactTable[[#This Row],[unidadUsadaServicio]],0)</f>
        <v>0</v>
      </c>
      <c r="P6" t="s">
        <v>52</v>
      </c>
      <c r="U6" s="3">
        <v>0.37</v>
      </c>
    </row>
    <row r="7" spans="1:22" x14ac:dyDescent="0.3">
      <c r="A7" t="s">
        <v>49</v>
      </c>
      <c r="B7" t="s">
        <v>57</v>
      </c>
      <c r="C7" t="s">
        <v>15</v>
      </c>
      <c r="I7" s="3">
        <f>IFERROR(FactTable[[#This Row],[cantidadUsadaMaterial]]*FactTable[[#This Row],[costoMaterial$]]/FactTable[[#This Row],[unidadUsadaMaterial]],0)</f>
        <v>0</v>
      </c>
      <c r="O7">
        <f>IFERROR(FactTable[[#This Row],[cantidadUsadaServicio]]*FactTable[[#This Row],[costoServicio$]]/FactTable[[#This Row],[unidadUsadaServicio]],0)</f>
        <v>0</v>
      </c>
      <c r="U7" s="3">
        <f>IFERROR(FactTable[[#This Row],[cantidadUsadaManoObra]]*FactTable[[#This Row],[costoManoObra$]]/FactTable[[#This Row],[unidadUsadaManoObra]],0)</f>
        <v>0</v>
      </c>
      <c r="V7">
        <v>0.6</v>
      </c>
    </row>
    <row r="8" spans="1:22" x14ac:dyDescent="0.3">
      <c r="A8" t="s">
        <v>55</v>
      </c>
      <c r="B8" t="s">
        <v>53</v>
      </c>
      <c r="C8" t="s">
        <v>0</v>
      </c>
      <c r="D8" t="s">
        <v>46</v>
      </c>
      <c r="I8" s="3">
        <v>0.2</v>
      </c>
      <c r="O8">
        <f>IFERROR(FactTable[[#This Row],[cantidadUsadaServicio]]*FactTable[[#This Row],[costoServicio$]]/FactTable[[#This Row],[unidadUsadaServicio]],0)</f>
        <v>0</v>
      </c>
      <c r="U8" s="3">
        <f>IFERROR(FactTable[[#This Row],[cantidadUsadaManoObra]]*FactTable[[#This Row],[costoManoObra$]]/FactTable[[#This Row],[unidadUsadaManoObra]],0)</f>
        <v>0</v>
      </c>
    </row>
    <row r="9" spans="1:22" x14ac:dyDescent="0.3">
      <c r="A9" t="s">
        <v>55</v>
      </c>
      <c r="B9" t="s">
        <v>53</v>
      </c>
      <c r="C9" t="s">
        <v>0</v>
      </c>
      <c r="D9" t="s">
        <v>48</v>
      </c>
      <c r="I9" s="3">
        <v>0.113</v>
      </c>
      <c r="O9">
        <f>IFERROR(FactTable[[#This Row],[cantidadUsadaServicio]]*FactTable[[#This Row],[costoServicio$]]/FactTable[[#This Row],[unidadUsadaServicio]],0)</f>
        <v>0</v>
      </c>
      <c r="U9" s="3">
        <f>IFERROR(FactTable[[#This Row],[cantidadUsadaManoObra]]*FactTable[[#This Row],[costoManoObra$]]/FactTable[[#This Row],[unidadUsadaManoObra]],0)</f>
        <v>0</v>
      </c>
    </row>
    <row r="10" spans="1:22" x14ac:dyDescent="0.3">
      <c r="A10" t="s">
        <v>55</v>
      </c>
      <c r="B10" t="s">
        <v>53</v>
      </c>
      <c r="C10" t="s">
        <v>1</v>
      </c>
      <c r="I10" s="3">
        <f>IFERROR(FactTable[[#This Row],[cantidadUsadaMaterial]]*FactTable[[#This Row],[costoMaterial$]]/FactTable[[#This Row],[unidadUsadaMaterial]],0)</f>
        <v>0</v>
      </c>
      <c r="J10" t="s">
        <v>56</v>
      </c>
      <c r="O10">
        <v>0.5</v>
      </c>
      <c r="U10" s="3">
        <f>IFERROR(FactTable[[#This Row],[cantidadUsadaManoObra]]*FactTable[[#This Row],[costoManoObra$]]/FactTable[[#This Row],[unidadUsadaManoObra]],0)</f>
        <v>0</v>
      </c>
    </row>
    <row r="11" spans="1:22" x14ac:dyDescent="0.3">
      <c r="A11" t="s">
        <v>55</v>
      </c>
      <c r="B11" t="s">
        <v>53</v>
      </c>
      <c r="C11" t="s">
        <v>1</v>
      </c>
      <c r="I11" s="3">
        <f>IFERROR(FactTable[[#This Row],[cantidadUsadaMaterial]]*FactTable[[#This Row],[costoMaterial$]]/FactTable[[#This Row],[unidadUsadaMaterial]],0)</f>
        <v>0</v>
      </c>
      <c r="J11" t="s">
        <v>51</v>
      </c>
      <c r="O11">
        <v>8.8999999999999996E-2</v>
      </c>
      <c r="U11" s="3">
        <f>IFERROR(FactTable[[#This Row],[cantidadUsadaManoObra]]*FactTable[[#This Row],[costoManoObra$]]/FactTable[[#This Row],[unidadUsadaManoObra]],0)</f>
        <v>0</v>
      </c>
    </row>
    <row r="12" spans="1:22" x14ac:dyDescent="0.3">
      <c r="A12" t="s">
        <v>55</v>
      </c>
      <c r="B12" t="s">
        <v>53</v>
      </c>
      <c r="C12" t="s">
        <v>2</v>
      </c>
      <c r="I12" s="3">
        <f>IFERROR(FactTable[[#This Row],[cantidadUsadaMaterial]]*FactTable[[#This Row],[costoMaterial$]]/FactTable[[#This Row],[unidadUsadaMaterial]],0)</f>
        <v>0</v>
      </c>
      <c r="O12">
        <f>IFERROR(FactTable[[#This Row],[cantidadUsadaServicio]]*FactTable[[#This Row],[costoServicio$]]/FactTable[[#This Row],[unidadUsadaServicio]],0)</f>
        <v>0</v>
      </c>
      <c r="P12" t="s">
        <v>52</v>
      </c>
      <c r="U12" s="3">
        <v>0.89</v>
      </c>
    </row>
    <row r="13" spans="1:22" x14ac:dyDescent="0.3">
      <c r="A13" t="s">
        <v>55</v>
      </c>
      <c r="B13" t="s">
        <v>53</v>
      </c>
      <c r="C13" t="s">
        <v>15</v>
      </c>
      <c r="I13" s="3">
        <f>IFERROR(FactTable[[#This Row],[cantidadUsadaMaterial]]*FactTable[[#This Row],[costoMaterial$]]/FactTable[[#This Row],[unidadUsadaMaterial]],0)</f>
        <v>0</v>
      </c>
      <c r="O13">
        <f>IFERROR(FactTable[[#This Row],[cantidadUsadaServicio]]*FactTable[[#This Row],[costoServicio$]]/FactTable[[#This Row],[unidadUsadaServicio]],0)</f>
        <v>0</v>
      </c>
      <c r="U13" s="3">
        <f>IFERROR(FactTable[[#This Row],[cantidadUsadaManoObra]]*FactTable[[#This Row],[costoManoObra$]]/FactTable[[#This Row],[unidadUsadaManoObra]],0)</f>
        <v>0</v>
      </c>
      <c r="V13">
        <v>0.52</v>
      </c>
    </row>
    <row r="14" spans="1:22" x14ac:dyDescent="0.3">
      <c r="A14" t="s">
        <v>42</v>
      </c>
      <c r="B14" t="s">
        <v>53</v>
      </c>
      <c r="C14" t="s">
        <v>0</v>
      </c>
      <c r="D14" t="s">
        <v>48</v>
      </c>
      <c r="I14" s="3">
        <v>0.113</v>
      </c>
      <c r="O14">
        <f>IFERROR(FactTable[[#This Row],[cantidadUsadaServicio]]*FactTable[[#This Row],[costoServicio$]]/FactTable[[#This Row],[unidadUsadaServicio]],0)</f>
        <v>0</v>
      </c>
      <c r="U14" s="3">
        <f>IFERROR(FactTable[[#This Row],[cantidadUsadaManoObra]]*FactTable[[#This Row],[costoManoObra$]]/FactTable[[#This Row],[unidadUsadaManoObra]],0)</f>
        <v>0</v>
      </c>
    </row>
    <row r="15" spans="1:22" x14ac:dyDescent="0.3">
      <c r="A15" t="s">
        <v>42</v>
      </c>
      <c r="B15" t="s">
        <v>53</v>
      </c>
      <c r="C15" t="s">
        <v>0</v>
      </c>
      <c r="D15" t="s">
        <v>47</v>
      </c>
      <c r="I15" s="3">
        <v>0.23</v>
      </c>
      <c r="O15">
        <f>IFERROR(FactTable[[#This Row],[cantidadUsadaServicio]]*FactTable[[#This Row],[costoServicio$]]/FactTable[[#This Row],[unidadUsadaServicio]],0)</f>
        <v>0</v>
      </c>
      <c r="U15" s="3">
        <f>IFERROR(FactTable[[#This Row],[cantidadUsadaManoObra]]*FactTable[[#This Row],[costoManoObra$]]/FactTable[[#This Row],[unidadUsadaManoObra]],0)</f>
        <v>0</v>
      </c>
    </row>
    <row r="16" spans="1:22" x14ac:dyDescent="0.3">
      <c r="A16" t="s">
        <v>42</v>
      </c>
      <c r="B16" t="s">
        <v>53</v>
      </c>
      <c r="C16" t="s">
        <v>0</v>
      </c>
      <c r="D16" t="s">
        <v>50</v>
      </c>
      <c r="I16" s="3">
        <v>0.3</v>
      </c>
      <c r="O16">
        <f>IFERROR(FactTable[[#This Row],[cantidadUsadaServicio]]*FactTable[[#This Row],[costoServicio$]]/FactTable[[#This Row],[unidadUsadaServicio]],0)</f>
        <v>0</v>
      </c>
      <c r="U16" s="3">
        <f>IFERROR(FactTable[[#This Row],[cantidadUsadaManoObra]]*FactTable[[#This Row],[costoManoObra$]]/FactTable[[#This Row],[unidadUsadaManoObra]],0)</f>
        <v>0</v>
      </c>
    </row>
    <row r="17" spans="1:22" x14ac:dyDescent="0.3">
      <c r="A17" t="s">
        <v>42</v>
      </c>
      <c r="B17" t="s">
        <v>53</v>
      </c>
      <c r="C17" t="s">
        <v>1</v>
      </c>
      <c r="I17" s="3">
        <f>IFERROR(FactTable[[#This Row],[cantidadUsadaMaterial]]*FactTable[[#This Row],[costoMaterial$]]/FactTable[[#This Row],[unidadUsadaMaterial]],0)</f>
        <v>0</v>
      </c>
      <c r="J17" t="s">
        <v>56</v>
      </c>
      <c r="O17">
        <v>5.25</v>
      </c>
      <c r="U17" s="3">
        <f>IFERROR(FactTable[[#This Row],[cantidadUsadaManoObra]]*FactTable[[#This Row],[costoManoObra$]]/FactTable[[#This Row],[unidadUsadaManoObra]],0)</f>
        <v>0</v>
      </c>
    </row>
    <row r="18" spans="1:22" x14ac:dyDescent="0.3">
      <c r="A18" t="s">
        <v>42</v>
      </c>
      <c r="B18" t="s">
        <v>53</v>
      </c>
      <c r="C18" t="s">
        <v>1</v>
      </c>
      <c r="I18" s="3">
        <f>IFERROR(FactTable[[#This Row],[cantidadUsadaMaterial]]*FactTable[[#This Row],[costoMaterial$]]/FactTable[[#This Row],[unidadUsadaMaterial]],0)</f>
        <v>0</v>
      </c>
      <c r="J18" t="s">
        <v>54</v>
      </c>
      <c r="O18">
        <v>2E-3</v>
      </c>
      <c r="U18" s="3">
        <f>IFERROR(FactTable[[#This Row],[cantidadUsadaManoObra]]*FactTable[[#This Row],[costoManoObra$]]/FactTable[[#This Row],[unidadUsadaManoObra]],0)</f>
        <v>0</v>
      </c>
    </row>
    <row r="19" spans="1:22" x14ac:dyDescent="0.3">
      <c r="A19" t="s">
        <v>42</v>
      </c>
      <c r="B19" t="s">
        <v>53</v>
      </c>
      <c r="C19" t="s">
        <v>1</v>
      </c>
      <c r="I19" s="3">
        <f>IFERROR(FactTable[[#This Row],[cantidadUsadaMaterial]]*FactTable[[#This Row],[costoMaterial$]]/FactTable[[#This Row],[unidadUsadaMaterial]],0)</f>
        <v>0</v>
      </c>
      <c r="J19" t="s">
        <v>51</v>
      </c>
      <c r="U19" s="3">
        <f>IFERROR(FactTable[[#This Row],[cantidadUsadaManoObra]]*FactTable[[#This Row],[costoManoObra$]]/FactTable[[#This Row],[unidadUsadaManoObra]],0)</f>
        <v>0</v>
      </c>
    </row>
    <row r="20" spans="1:22" x14ac:dyDescent="0.3">
      <c r="A20" t="s">
        <v>42</v>
      </c>
      <c r="B20" t="s">
        <v>53</v>
      </c>
      <c r="C20" t="s">
        <v>2</v>
      </c>
      <c r="I20" s="3">
        <f>IFERROR(FactTable[[#This Row],[cantidadUsadaMaterial]]*FactTable[[#This Row],[costoMaterial$]]/FactTable[[#This Row],[unidadUsadaMaterial]],0)</f>
        <v>0</v>
      </c>
      <c r="O20">
        <f>IFERROR(FactTable[[#This Row],[cantidadUsadaServicio]]*FactTable[[#This Row],[costoServicio$]]/FactTable[[#This Row],[unidadUsadaServicio]],0)</f>
        <v>0</v>
      </c>
      <c r="P20" t="s">
        <v>52</v>
      </c>
      <c r="U20" s="3">
        <v>75</v>
      </c>
    </row>
    <row r="21" spans="1:22" x14ac:dyDescent="0.3">
      <c r="A21" t="s">
        <v>42</v>
      </c>
      <c r="B21" t="s">
        <v>53</v>
      </c>
      <c r="C21" t="s">
        <v>2</v>
      </c>
      <c r="I21" s="3">
        <f>IFERROR(FactTable[[#This Row],[cantidadUsadaMaterial]]*FactTable[[#This Row],[costoMaterial$]]/FactTable[[#This Row],[unidadUsadaMaterial]],0)</f>
        <v>0</v>
      </c>
      <c r="O21">
        <f>IFERROR(FactTable[[#This Row],[cantidadUsadaServicio]]*FactTable[[#This Row],[costoServicio$]]/FactTable[[#This Row],[unidadUsadaServicio]],0)</f>
        <v>0</v>
      </c>
      <c r="P21" t="s">
        <v>84</v>
      </c>
      <c r="U21" s="3">
        <v>5.7140000000000004</v>
      </c>
    </row>
    <row r="22" spans="1:22" x14ac:dyDescent="0.3">
      <c r="A22" t="s">
        <v>42</v>
      </c>
      <c r="B22" t="s">
        <v>53</v>
      </c>
      <c r="C22" t="s">
        <v>15</v>
      </c>
      <c r="I22" s="3">
        <f>IFERROR(FactTable[[#This Row],[cantidadUsadaMaterial]]*FactTable[[#This Row],[costoMaterial$]]/FactTable[[#This Row],[unidadUsadaMaterial]],0)</f>
        <v>0</v>
      </c>
      <c r="O22">
        <f>IFERROR(FactTable[[#This Row],[cantidadUsadaServicio]]*FactTable[[#This Row],[costoServicio$]]/FactTable[[#This Row],[unidadUsadaServicio]],0)</f>
        <v>0</v>
      </c>
      <c r="U22" s="3">
        <f>IFERROR(FactTable[[#This Row],[cantidadUsadaManoObra]]*FactTable[[#This Row],[costoManoObra$]]/FactTable[[#This Row],[unidadUsadaManoObra]],0)</f>
        <v>0</v>
      </c>
      <c r="V22">
        <v>0.51</v>
      </c>
    </row>
    <row r="23" spans="1:22" x14ac:dyDescent="0.3">
      <c r="A23" t="s">
        <v>110</v>
      </c>
      <c r="B23" t="s">
        <v>53</v>
      </c>
      <c r="C23" t="s">
        <v>0</v>
      </c>
      <c r="D23" t="s">
        <v>48</v>
      </c>
      <c r="I23" s="3">
        <v>0.13200000000000001</v>
      </c>
      <c r="O23">
        <f>IFERROR(FactTable[[#This Row],[cantidadUsadaServicio]]*FactTable[[#This Row],[costoServicio$]]/FactTable[[#This Row],[unidadUsadaServicio]],0)</f>
        <v>0</v>
      </c>
      <c r="U23" s="3">
        <f>IFERROR(FactTable[[#This Row],[cantidadUsadaManoObra]]*FactTable[[#This Row],[costoManoObra$]]/FactTable[[#This Row],[unidadUsadaManoObra]],0)</f>
        <v>0</v>
      </c>
    </row>
    <row r="24" spans="1:22" x14ac:dyDescent="0.3">
      <c r="A24" t="s">
        <v>110</v>
      </c>
      <c r="B24" t="s">
        <v>53</v>
      </c>
      <c r="C24" t="s">
        <v>0</v>
      </c>
      <c r="D24" t="s">
        <v>60</v>
      </c>
      <c r="I24" s="3">
        <v>6.7000000000000004E-2</v>
      </c>
      <c r="O24">
        <f>IFERROR(FactTable[[#This Row],[cantidadUsadaServicio]]*FactTable[[#This Row],[costoServicio$]]/FactTable[[#This Row],[unidadUsadaServicio]],0)</f>
        <v>0</v>
      </c>
      <c r="U24" s="3">
        <f>IFERROR(FactTable[[#This Row],[cantidadUsadaManoObra]]*FactTable[[#This Row],[costoManoObra$]]/FactTable[[#This Row],[unidadUsadaManoObra]],0)</f>
        <v>0</v>
      </c>
    </row>
    <row r="25" spans="1:22" x14ac:dyDescent="0.3">
      <c r="A25" t="s">
        <v>110</v>
      </c>
      <c r="B25" t="s">
        <v>53</v>
      </c>
      <c r="C25" t="s">
        <v>0</v>
      </c>
      <c r="D25" t="s">
        <v>47</v>
      </c>
      <c r="I25" s="3">
        <v>0.08</v>
      </c>
      <c r="O25">
        <f>IFERROR(FactTable[[#This Row],[cantidadUsadaServicio]]*FactTable[[#This Row],[costoServicio$]]/FactTable[[#This Row],[unidadUsadaServicio]],0)</f>
        <v>0</v>
      </c>
      <c r="U25" s="3">
        <f>IFERROR(FactTable[[#This Row],[cantidadUsadaManoObra]]*FactTable[[#This Row],[costoManoObra$]]/FactTable[[#This Row],[unidadUsadaManoObra]],0)</f>
        <v>0</v>
      </c>
    </row>
    <row r="26" spans="1:22" x14ac:dyDescent="0.3">
      <c r="A26" t="s">
        <v>110</v>
      </c>
      <c r="B26" t="s">
        <v>53</v>
      </c>
      <c r="C26" t="s">
        <v>1</v>
      </c>
      <c r="I26" s="3">
        <f>IFERROR(FactTable[[#This Row],[cantidadUsadaMaterial]]*FactTable[[#This Row],[costoMaterial$]]/FactTable[[#This Row],[unidadUsadaMaterial]],0)</f>
        <v>0</v>
      </c>
      <c r="J26" t="s">
        <v>54</v>
      </c>
      <c r="O26">
        <v>2.1999999999999999E-2</v>
      </c>
      <c r="U26" s="3">
        <f>IFERROR(FactTable[[#This Row],[cantidadUsadaManoObra]]*FactTable[[#This Row],[costoManoObra$]]/FactTable[[#This Row],[unidadUsadaManoObra]],0)</f>
        <v>0</v>
      </c>
    </row>
    <row r="27" spans="1:22" x14ac:dyDescent="0.3">
      <c r="A27" t="s">
        <v>110</v>
      </c>
      <c r="B27" t="s">
        <v>53</v>
      </c>
      <c r="C27" t="s">
        <v>2</v>
      </c>
      <c r="I27" s="3">
        <f>IFERROR(FactTable[[#This Row],[cantidadUsadaMaterial]]*FactTable[[#This Row],[costoMaterial$]]/FactTable[[#This Row],[unidadUsadaMaterial]],0)</f>
        <v>0</v>
      </c>
      <c r="O27">
        <f>IFERROR(FactTable[[#This Row],[cantidadUsadaServicio]]*FactTable[[#This Row],[costoServicio$]]/FactTable[[#This Row],[unidadUsadaServicio]],0)</f>
        <v>0</v>
      </c>
      <c r="P27" t="s">
        <v>52</v>
      </c>
      <c r="U27" s="3">
        <v>2.5</v>
      </c>
    </row>
    <row r="28" spans="1:22" x14ac:dyDescent="0.3">
      <c r="A28" t="s">
        <v>110</v>
      </c>
      <c r="B28" t="s">
        <v>53</v>
      </c>
      <c r="C28" t="s">
        <v>15</v>
      </c>
      <c r="I28" s="3">
        <f>IFERROR(FactTable[[#This Row],[cantidadUsadaMaterial]]*FactTable[[#This Row],[costoMaterial$]]/FactTable[[#This Row],[unidadUsadaMaterial]],0)</f>
        <v>0</v>
      </c>
      <c r="O28">
        <f>IFERROR(FactTable[[#This Row],[cantidadUsadaServicio]]*FactTable[[#This Row],[costoServicio$]]/FactTable[[#This Row],[unidadUsadaServicio]],0)</f>
        <v>0</v>
      </c>
      <c r="U28" s="3">
        <f>IFERROR(FactTable[[#This Row],[cantidadUsadaManoObra]]*FactTable[[#This Row],[costoManoObra$]]/FactTable[[#This Row],[unidadUsadaManoObra]],0)</f>
        <v>0</v>
      </c>
      <c r="V28">
        <v>0.3</v>
      </c>
    </row>
    <row r="29" spans="1:22" x14ac:dyDescent="0.3">
      <c r="A29" t="s">
        <v>41</v>
      </c>
      <c r="B29" t="s">
        <v>61</v>
      </c>
      <c r="C29" t="s">
        <v>0</v>
      </c>
      <c r="D29" t="s">
        <v>48</v>
      </c>
      <c r="I29" s="3">
        <v>0.04</v>
      </c>
      <c r="O29">
        <f>IFERROR(FactTable[[#This Row],[cantidadUsadaServicio]]*FactTable[[#This Row],[costoServicio$]]/FactTable[[#This Row],[unidadUsadaServicio]],0)</f>
        <v>0</v>
      </c>
      <c r="U29" s="3">
        <f>IFERROR(FactTable[[#This Row],[cantidadUsadaManoObra]]*FactTable[[#This Row],[costoManoObra$]]/FactTable[[#This Row],[unidadUsadaManoObra]],0)</f>
        <v>0</v>
      </c>
    </row>
    <row r="30" spans="1:22" x14ac:dyDescent="0.3">
      <c r="A30" t="s">
        <v>41</v>
      </c>
      <c r="B30" t="s">
        <v>61</v>
      </c>
      <c r="C30" t="s">
        <v>0</v>
      </c>
      <c r="D30" t="s">
        <v>58</v>
      </c>
      <c r="I30" s="3">
        <v>0.2</v>
      </c>
      <c r="O30">
        <f>IFERROR(FactTable[[#This Row],[cantidadUsadaServicio]]*FactTable[[#This Row],[costoServicio$]]/FactTable[[#This Row],[unidadUsadaServicio]],0)</f>
        <v>0</v>
      </c>
      <c r="U30" s="3">
        <f>IFERROR(FactTable[[#This Row],[cantidadUsadaManoObra]]*FactTable[[#This Row],[costoManoObra$]]/FactTable[[#This Row],[unidadUsadaManoObra]],0)</f>
        <v>0</v>
      </c>
    </row>
    <row r="31" spans="1:22" x14ac:dyDescent="0.3">
      <c r="A31" t="s">
        <v>41</v>
      </c>
      <c r="B31" t="s">
        <v>61</v>
      </c>
      <c r="C31" t="s">
        <v>0</v>
      </c>
      <c r="D31" t="s">
        <v>60</v>
      </c>
      <c r="I31" s="3">
        <v>0.01</v>
      </c>
      <c r="O31">
        <f>IFERROR(FactTable[[#This Row],[cantidadUsadaServicio]]*FactTable[[#This Row],[costoServicio$]]/FactTable[[#This Row],[unidadUsadaServicio]],0)</f>
        <v>0</v>
      </c>
      <c r="U31" s="3">
        <f>IFERROR(FactTable[[#This Row],[cantidadUsadaManoObra]]*FactTable[[#This Row],[costoManoObra$]]/FactTable[[#This Row],[unidadUsadaManoObra]],0)</f>
        <v>0</v>
      </c>
    </row>
    <row r="32" spans="1:22" x14ac:dyDescent="0.3">
      <c r="A32" t="s">
        <v>41</v>
      </c>
      <c r="B32" t="s">
        <v>61</v>
      </c>
      <c r="C32" t="s">
        <v>1</v>
      </c>
      <c r="I32" s="3">
        <f>IFERROR(FactTable[[#This Row],[cantidadUsadaMaterial]]*FactTable[[#This Row],[costoMaterial$]]/FactTable[[#This Row],[unidadUsadaMaterial]],0)</f>
        <v>0</v>
      </c>
      <c r="J32" t="s">
        <v>56</v>
      </c>
      <c r="O32">
        <v>0.03</v>
      </c>
      <c r="U32" s="3">
        <f>IFERROR(FactTable[[#This Row],[cantidadUsadaManoObra]]*FactTable[[#This Row],[costoManoObra$]]/FactTable[[#This Row],[unidadUsadaManoObra]],0)</f>
        <v>0</v>
      </c>
    </row>
    <row r="33" spans="1:22" x14ac:dyDescent="0.3">
      <c r="A33" t="s">
        <v>41</v>
      </c>
      <c r="B33" t="s">
        <v>61</v>
      </c>
      <c r="C33" t="s">
        <v>1</v>
      </c>
      <c r="I33" s="3">
        <f>IFERROR(FactTable[[#This Row],[cantidadUsadaMaterial]]*FactTable[[#This Row],[costoMaterial$]]/FactTable[[#This Row],[unidadUsadaMaterial]],0)</f>
        <v>0</v>
      </c>
      <c r="J33" t="s">
        <v>54</v>
      </c>
      <c r="O33">
        <v>0.08</v>
      </c>
      <c r="U33" s="3">
        <f>IFERROR(FactTable[[#This Row],[cantidadUsadaManoObra]]*FactTable[[#This Row],[costoManoObra$]]/FactTable[[#This Row],[unidadUsadaManoObra]],0)</f>
        <v>0</v>
      </c>
    </row>
    <row r="34" spans="1:22" x14ac:dyDescent="0.3">
      <c r="A34" t="s">
        <v>41</v>
      </c>
      <c r="B34" t="s">
        <v>61</v>
      </c>
      <c r="C34" t="s">
        <v>1</v>
      </c>
      <c r="I34" s="3">
        <f>IFERROR(FactTable[[#This Row],[cantidadUsadaMaterial]]*FactTable[[#This Row],[costoMaterial$]]/FactTable[[#This Row],[unidadUsadaMaterial]],0)</f>
        <v>0</v>
      </c>
      <c r="J34" t="s">
        <v>51</v>
      </c>
      <c r="O34">
        <v>8.8999999999999996E-2</v>
      </c>
      <c r="U34" s="3">
        <f>IFERROR(FactTable[[#This Row],[cantidadUsadaManoObra]]*FactTable[[#This Row],[costoManoObra$]]/FactTable[[#This Row],[unidadUsadaManoObra]],0)</f>
        <v>0</v>
      </c>
    </row>
    <row r="35" spans="1:22" x14ac:dyDescent="0.3">
      <c r="A35" t="s">
        <v>41</v>
      </c>
      <c r="B35" t="s">
        <v>61</v>
      </c>
      <c r="C35" t="s">
        <v>2</v>
      </c>
      <c r="I35" s="3">
        <f>IFERROR(FactTable[[#This Row],[cantidadUsadaMaterial]]*FactTable[[#This Row],[costoMaterial$]]/FactTable[[#This Row],[unidadUsadaMaterial]],0)</f>
        <v>0</v>
      </c>
      <c r="O35">
        <f>IFERROR(FactTable[[#This Row],[cantidadUsadaServicio]]*FactTable[[#This Row],[costoServicio$]]/FactTable[[#This Row],[unidadUsadaServicio]],0)</f>
        <v>0</v>
      </c>
      <c r="P35" t="s">
        <v>52</v>
      </c>
      <c r="U35" s="3">
        <v>0.37</v>
      </c>
    </row>
    <row r="36" spans="1:22" x14ac:dyDescent="0.3">
      <c r="A36" t="s">
        <v>41</v>
      </c>
      <c r="B36" t="s">
        <v>61</v>
      </c>
      <c r="C36" t="s">
        <v>15</v>
      </c>
      <c r="I36" s="3">
        <f>IFERROR(FactTable[[#This Row],[cantidadUsadaMaterial]]*FactTable[[#This Row],[costoMaterial$]]/FactTable[[#This Row],[unidadUsadaMaterial]],0)</f>
        <v>0</v>
      </c>
      <c r="O36">
        <f>IFERROR(FactTable[[#This Row],[cantidadUsadaServicio]]*FactTable[[#This Row],[costoServicio$]]/FactTable[[#This Row],[unidadUsadaServicio]],0)</f>
        <v>0</v>
      </c>
      <c r="U36" s="3">
        <f>IFERROR(FactTable[[#This Row],[cantidadUsadaManoObra]]*FactTable[[#This Row],[costoManoObra$]]/FactTable[[#This Row],[unidadUsadaManoObra]],0)</f>
        <v>0</v>
      </c>
      <c r="V36">
        <v>0.3</v>
      </c>
    </row>
    <row r="37" spans="1:22" x14ac:dyDescent="0.3">
      <c r="A37" t="s">
        <v>111</v>
      </c>
      <c r="B37" t="s">
        <v>53</v>
      </c>
      <c r="C37" t="s">
        <v>0</v>
      </c>
      <c r="D37" t="s">
        <v>48</v>
      </c>
      <c r="I37" s="3">
        <v>0.111</v>
      </c>
      <c r="O37">
        <f>IFERROR(FactTable[[#This Row],[cantidadUsadaServicio]]*FactTable[[#This Row],[costoServicio$]]/FactTable[[#This Row],[unidadUsadaServicio]],0)</f>
        <v>0</v>
      </c>
      <c r="U37" s="3">
        <f>IFERROR(FactTable[[#This Row],[cantidadUsadaManoObra]]*FactTable[[#This Row],[costoManoObra$]]/FactTable[[#This Row],[unidadUsadaManoObra]],0)</f>
        <v>0</v>
      </c>
    </row>
    <row r="38" spans="1:22" x14ac:dyDescent="0.3">
      <c r="A38" t="s">
        <v>111</v>
      </c>
      <c r="B38" t="s">
        <v>53</v>
      </c>
      <c r="C38" t="s">
        <v>0</v>
      </c>
      <c r="D38" t="s">
        <v>112</v>
      </c>
      <c r="I38" s="3">
        <v>0.157</v>
      </c>
      <c r="O38">
        <f>IFERROR(FactTable[[#This Row],[cantidadUsadaServicio]]*FactTable[[#This Row],[costoServicio$]]/FactTable[[#This Row],[unidadUsadaServicio]],0)</f>
        <v>0</v>
      </c>
      <c r="U38" s="3">
        <f>IFERROR(FactTable[[#This Row],[cantidadUsadaManoObra]]*FactTable[[#This Row],[costoManoObra$]]/FactTable[[#This Row],[unidadUsadaManoObra]],0)</f>
        <v>0</v>
      </c>
    </row>
    <row r="39" spans="1:22" x14ac:dyDescent="0.3">
      <c r="A39" t="s">
        <v>111</v>
      </c>
      <c r="B39" t="s">
        <v>53</v>
      </c>
      <c r="C39" t="s">
        <v>0</v>
      </c>
      <c r="D39" t="s">
        <v>60</v>
      </c>
      <c r="I39" s="3">
        <v>1.4999999999999999E-2</v>
      </c>
      <c r="O39">
        <f>IFERROR(FactTable[[#This Row],[cantidadUsadaServicio]]*FactTable[[#This Row],[costoServicio$]]/FactTable[[#This Row],[unidadUsadaServicio]],0)</f>
        <v>0</v>
      </c>
      <c r="U39" s="3">
        <f>IFERROR(FactTable[[#This Row],[cantidadUsadaManoObra]]*FactTable[[#This Row],[costoManoObra$]]/FactTable[[#This Row],[unidadUsadaManoObra]],0)</f>
        <v>0</v>
      </c>
    </row>
    <row r="40" spans="1:22" x14ac:dyDescent="0.3">
      <c r="A40" t="s">
        <v>111</v>
      </c>
      <c r="B40" t="s">
        <v>53</v>
      </c>
      <c r="C40" t="s">
        <v>0</v>
      </c>
      <c r="D40" t="s">
        <v>47</v>
      </c>
      <c r="I40" s="3">
        <v>0.06</v>
      </c>
      <c r="O40">
        <f>IFERROR(FactTable[[#This Row],[cantidadUsadaServicio]]*FactTable[[#This Row],[costoServicio$]]/FactTable[[#This Row],[unidadUsadaServicio]],0)</f>
        <v>0</v>
      </c>
      <c r="U40" s="3">
        <f>IFERROR(FactTable[[#This Row],[cantidadUsadaManoObra]]*FactTable[[#This Row],[costoManoObra$]]/FactTable[[#This Row],[unidadUsadaManoObra]],0)</f>
        <v>0</v>
      </c>
    </row>
    <row r="41" spans="1:22" x14ac:dyDescent="0.3">
      <c r="A41" t="s">
        <v>111</v>
      </c>
      <c r="B41" t="s">
        <v>53</v>
      </c>
      <c r="C41" t="s">
        <v>1</v>
      </c>
      <c r="I41" s="3">
        <f>IFERROR(FactTable[[#This Row],[cantidadUsadaMaterial]]*FactTable[[#This Row],[costoMaterial$]]/FactTable[[#This Row],[unidadUsadaMaterial]],0)</f>
        <v>0</v>
      </c>
      <c r="J41" t="s">
        <v>113</v>
      </c>
      <c r="O41">
        <v>0.501</v>
      </c>
      <c r="U41" s="3">
        <f>IFERROR(FactTable[[#This Row],[cantidadUsadaManoObra]]*FactTable[[#This Row],[costoManoObra$]]/FactTable[[#This Row],[unidadUsadaManoObra]],0)</f>
        <v>0</v>
      </c>
    </row>
    <row r="42" spans="1:22" x14ac:dyDescent="0.3">
      <c r="A42" t="s">
        <v>111</v>
      </c>
      <c r="B42" t="s">
        <v>53</v>
      </c>
      <c r="C42" t="s">
        <v>1</v>
      </c>
      <c r="I42" s="3">
        <f>IFERROR(FactTable[[#This Row],[cantidadUsadaMaterial]]*FactTable[[#This Row],[costoMaterial$]]/FactTable[[#This Row],[unidadUsadaMaterial]],0)</f>
        <v>0</v>
      </c>
      <c r="J42" t="s">
        <v>51</v>
      </c>
      <c r="O42">
        <v>8.8999999999999996E-2</v>
      </c>
      <c r="U42" s="3">
        <f>IFERROR(FactTable[[#This Row],[cantidadUsadaManoObra]]*FactTable[[#This Row],[costoManoObra$]]/FactTable[[#This Row],[unidadUsadaManoObra]],0)</f>
        <v>0</v>
      </c>
    </row>
    <row r="43" spans="1:22" x14ac:dyDescent="0.3">
      <c r="A43" t="s">
        <v>111</v>
      </c>
      <c r="B43" t="s">
        <v>53</v>
      </c>
      <c r="C43" t="s">
        <v>1</v>
      </c>
      <c r="I43" s="3">
        <f>IFERROR(FactTable[[#This Row],[cantidadUsadaMaterial]]*FactTable[[#This Row],[costoMaterial$]]/FactTable[[#This Row],[unidadUsadaMaterial]],0)</f>
        <v>0</v>
      </c>
      <c r="J43" t="s">
        <v>56</v>
      </c>
      <c r="O43">
        <v>1.7000000000000001E-2</v>
      </c>
      <c r="U43" s="3">
        <f>IFERROR(FactTable[[#This Row],[cantidadUsadaManoObra]]*FactTable[[#This Row],[costoManoObra$]]/FactTable[[#This Row],[unidadUsadaManoObra]],0)</f>
        <v>0</v>
      </c>
    </row>
    <row r="44" spans="1:22" x14ac:dyDescent="0.3">
      <c r="A44" t="s">
        <v>111</v>
      </c>
      <c r="B44" t="s">
        <v>53</v>
      </c>
      <c r="C44" t="s">
        <v>1</v>
      </c>
      <c r="I44" s="3">
        <f>IFERROR(FactTable[[#This Row],[cantidadUsadaMaterial]]*FactTable[[#This Row],[costoMaterial$]]/FactTable[[#This Row],[unidadUsadaMaterial]],0)</f>
        <v>0</v>
      </c>
      <c r="J44" t="s">
        <v>54</v>
      </c>
      <c r="O44">
        <v>5.0000000000000001E-3</v>
      </c>
      <c r="U44" s="3">
        <f>IFERROR(FactTable[[#This Row],[cantidadUsadaManoObra]]*FactTable[[#This Row],[costoManoObra$]]/FactTable[[#This Row],[unidadUsadaManoObra]],0)</f>
        <v>0</v>
      </c>
    </row>
    <row r="45" spans="1:22" x14ac:dyDescent="0.3">
      <c r="A45" t="s">
        <v>111</v>
      </c>
      <c r="B45" t="s">
        <v>53</v>
      </c>
      <c r="C45" t="s">
        <v>2</v>
      </c>
      <c r="I45" s="3">
        <f>IFERROR(FactTable[[#This Row],[cantidadUsadaMaterial]]*FactTable[[#This Row],[costoMaterial$]]/FactTable[[#This Row],[unidadUsadaMaterial]],0)</f>
        <v>0</v>
      </c>
      <c r="O45">
        <f>IFERROR(FactTable[[#This Row],[cantidadUsadaServicio]]*FactTable[[#This Row],[costoServicio$]]/FactTable[[#This Row],[unidadUsadaServicio]],0)</f>
        <v>0</v>
      </c>
      <c r="P45" t="s">
        <v>52</v>
      </c>
      <c r="U45" s="3">
        <v>0.875</v>
      </c>
    </row>
    <row r="46" spans="1:22" x14ac:dyDescent="0.3">
      <c r="A46" t="s">
        <v>111</v>
      </c>
      <c r="B46" t="s">
        <v>53</v>
      </c>
      <c r="C46" t="s">
        <v>15</v>
      </c>
      <c r="I46" s="3">
        <f>IFERROR(FactTable[[#This Row],[cantidadUsadaMaterial]]*FactTable[[#This Row],[costoMaterial$]]/FactTable[[#This Row],[unidadUsadaMaterial]],0)</f>
        <v>0</v>
      </c>
      <c r="O46">
        <f>IFERROR(FactTable[[#This Row],[cantidadUsadaServicio]]*FactTable[[#This Row],[costoServicio$]]/FactTable[[#This Row],[unidadUsadaServicio]],0)</f>
        <v>0</v>
      </c>
      <c r="U46" s="3">
        <f>IFERROR(FactTable[[#This Row],[cantidadUsadaManoObra]]*FactTable[[#This Row],[costoManoObra$]]/FactTable[[#This Row],[unidadUsadaManoObra]],0)</f>
        <v>0</v>
      </c>
      <c r="V46">
        <v>0.5</v>
      </c>
    </row>
    <row r="47" spans="1:22" x14ac:dyDescent="0.3">
      <c r="A47" t="s">
        <v>119</v>
      </c>
      <c r="B47" t="s">
        <v>61</v>
      </c>
      <c r="C47" t="s">
        <v>0</v>
      </c>
      <c r="D47" t="s">
        <v>114</v>
      </c>
      <c r="I47" s="3">
        <v>0.3</v>
      </c>
      <c r="O47">
        <f>IFERROR(FactTable[[#This Row],[cantidadUsadaServicio]]*FactTable[[#This Row],[costoServicio$]]/FactTable[[#This Row],[unidadUsadaServicio]],0)</f>
        <v>0</v>
      </c>
      <c r="U47" s="3">
        <f>IFERROR(FactTable[[#This Row],[cantidadUsadaManoObra]]*FactTable[[#This Row],[costoManoObra$]]/FactTable[[#This Row],[unidadUsadaManoObra]],0)</f>
        <v>0</v>
      </c>
    </row>
    <row r="48" spans="1:22" x14ac:dyDescent="0.3">
      <c r="A48" t="s">
        <v>119</v>
      </c>
      <c r="B48" t="s">
        <v>61</v>
      </c>
      <c r="C48" t="s">
        <v>0</v>
      </c>
      <c r="D48" t="s">
        <v>117</v>
      </c>
      <c r="I48" s="3">
        <v>0.16200000000000001</v>
      </c>
      <c r="O48">
        <f>IFERROR(FactTable[[#This Row],[cantidadUsadaServicio]]*FactTable[[#This Row],[costoServicio$]]/FactTable[[#This Row],[unidadUsadaServicio]],0)</f>
        <v>0</v>
      </c>
      <c r="U48" s="3">
        <f>IFERROR(FactTable[[#This Row],[cantidadUsadaManoObra]]*FactTable[[#This Row],[costoManoObra$]]/FactTable[[#This Row],[unidadUsadaManoObra]],0)</f>
        <v>0</v>
      </c>
    </row>
    <row r="49" spans="1:22" x14ac:dyDescent="0.3">
      <c r="A49" t="s">
        <v>119</v>
      </c>
      <c r="B49" t="s">
        <v>61</v>
      </c>
      <c r="C49" t="s">
        <v>0</v>
      </c>
      <c r="D49" t="s">
        <v>118</v>
      </c>
      <c r="I49" s="3">
        <v>6.5000000000000002E-2</v>
      </c>
      <c r="O49">
        <f>IFERROR(FactTable[[#This Row],[cantidadUsadaServicio]]*FactTable[[#This Row],[costoServicio$]]/FactTable[[#This Row],[unidadUsadaServicio]],0)</f>
        <v>0</v>
      </c>
      <c r="U49" s="3">
        <f>IFERROR(FactTable[[#This Row],[cantidadUsadaManoObra]]*FactTable[[#This Row],[costoManoObra$]]/FactTable[[#This Row],[unidadUsadaManoObra]],0)</f>
        <v>0</v>
      </c>
    </row>
    <row r="50" spans="1:22" x14ac:dyDescent="0.3">
      <c r="A50" t="s">
        <v>119</v>
      </c>
      <c r="B50" t="s">
        <v>61</v>
      </c>
      <c r="C50" t="s">
        <v>0</v>
      </c>
      <c r="D50" t="s">
        <v>112</v>
      </c>
      <c r="I50" s="3">
        <v>0.214</v>
      </c>
      <c r="O50">
        <f>IFERROR(FactTable[[#This Row],[cantidadUsadaServicio]]*FactTable[[#This Row],[costoServicio$]]/FactTable[[#This Row],[unidadUsadaServicio]],0)</f>
        <v>0</v>
      </c>
      <c r="U50" s="3">
        <f>IFERROR(FactTable[[#This Row],[cantidadUsadaManoObra]]*FactTable[[#This Row],[costoManoObra$]]/FactTable[[#This Row],[unidadUsadaManoObra]],0)</f>
        <v>0</v>
      </c>
    </row>
    <row r="51" spans="1:22" x14ac:dyDescent="0.3">
      <c r="A51" t="s">
        <v>119</v>
      </c>
      <c r="B51" t="s">
        <v>61</v>
      </c>
      <c r="C51" t="s">
        <v>0</v>
      </c>
      <c r="D51" t="s">
        <v>60</v>
      </c>
      <c r="I51" s="3">
        <v>1.2999999999999999E-2</v>
      </c>
      <c r="O51">
        <f>IFERROR(FactTable[[#This Row],[cantidadUsadaServicio]]*FactTable[[#This Row],[costoServicio$]]/FactTable[[#This Row],[unidadUsadaServicio]],0)</f>
        <v>0</v>
      </c>
      <c r="U51" s="3">
        <f>IFERROR(FactTable[[#This Row],[cantidadUsadaManoObra]]*FactTable[[#This Row],[costoManoObra$]]/FactTable[[#This Row],[unidadUsadaManoObra]],0)</f>
        <v>0</v>
      </c>
    </row>
    <row r="52" spans="1:22" x14ac:dyDescent="0.3">
      <c r="A52" t="s">
        <v>119</v>
      </c>
      <c r="B52" t="s">
        <v>61</v>
      </c>
      <c r="C52" t="s">
        <v>0</v>
      </c>
      <c r="D52" t="s">
        <v>47</v>
      </c>
      <c r="I52" s="3">
        <v>0.06</v>
      </c>
      <c r="O52">
        <f>IFERROR(FactTable[[#This Row],[cantidadUsadaServicio]]*FactTable[[#This Row],[costoServicio$]]/FactTable[[#This Row],[unidadUsadaServicio]],0)</f>
        <v>0</v>
      </c>
      <c r="U52" s="3">
        <f>IFERROR(FactTable[[#This Row],[cantidadUsadaManoObra]]*FactTable[[#This Row],[costoManoObra$]]/FactTable[[#This Row],[unidadUsadaManoObra]],0)</f>
        <v>0</v>
      </c>
    </row>
    <row r="53" spans="1:22" x14ac:dyDescent="0.3">
      <c r="A53" t="s">
        <v>119</v>
      </c>
      <c r="B53" t="s">
        <v>61</v>
      </c>
      <c r="C53" t="s">
        <v>1</v>
      </c>
      <c r="I53" s="3">
        <f>IFERROR(FactTable[[#This Row],[cantidadUsadaMaterial]]*FactTable[[#This Row],[costoMaterial$]]/FactTable[[#This Row],[unidadUsadaMaterial]],0)</f>
        <v>0</v>
      </c>
      <c r="J53" t="s">
        <v>51</v>
      </c>
      <c r="O53">
        <v>8.8999999999999996E-2</v>
      </c>
      <c r="U53" s="3">
        <f>IFERROR(FactTable[[#This Row],[cantidadUsadaManoObra]]*FactTable[[#This Row],[costoManoObra$]]/FactTable[[#This Row],[unidadUsadaManoObra]],0)</f>
        <v>0</v>
      </c>
    </row>
    <row r="54" spans="1:22" x14ac:dyDescent="0.3">
      <c r="A54" t="s">
        <v>119</v>
      </c>
      <c r="B54" t="s">
        <v>61</v>
      </c>
      <c r="C54" t="s">
        <v>1</v>
      </c>
      <c r="I54" s="3">
        <f>IFERROR(FactTable[[#This Row],[cantidadUsadaMaterial]]*FactTable[[#This Row],[costoMaterial$]]/FactTable[[#This Row],[unidadUsadaMaterial]],0)</f>
        <v>0</v>
      </c>
      <c r="J54" t="s">
        <v>56</v>
      </c>
      <c r="O54">
        <v>1.7000000000000001E-2</v>
      </c>
      <c r="U54" s="3">
        <f>IFERROR(FactTable[[#This Row],[cantidadUsadaManoObra]]*FactTable[[#This Row],[costoManoObra$]]/FactTable[[#This Row],[unidadUsadaManoObra]],0)</f>
        <v>0</v>
      </c>
    </row>
    <row r="55" spans="1:22" x14ac:dyDescent="0.3">
      <c r="A55" t="s">
        <v>119</v>
      </c>
      <c r="B55" t="s">
        <v>61</v>
      </c>
      <c r="C55" t="s">
        <v>1</v>
      </c>
      <c r="I55" s="3">
        <f>IFERROR(FactTable[[#This Row],[cantidadUsadaMaterial]]*FactTable[[#This Row],[costoMaterial$]]/FactTable[[#This Row],[unidadUsadaMaterial]],0)</f>
        <v>0</v>
      </c>
      <c r="J55" t="s">
        <v>54</v>
      </c>
      <c r="O55">
        <v>5.0000000000000001E-3</v>
      </c>
      <c r="U55" s="3">
        <f>IFERROR(FactTable[[#This Row],[cantidadUsadaManoObra]]*FactTable[[#This Row],[costoManoObra$]]/FactTable[[#This Row],[unidadUsadaManoObra]],0)</f>
        <v>0</v>
      </c>
    </row>
    <row r="56" spans="1:22" x14ac:dyDescent="0.3">
      <c r="A56" t="s">
        <v>119</v>
      </c>
      <c r="B56" t="s">
        <v>61</v>
      </c>
      <c r="C56" t="s">
        <v>1</v>
      </c>
      <c r="I56" s="3">
        <f>IFERROR(FactTable[[#This Row],[cantidadUsadaMaterial]]*FactTable[[#This Row],[costoMaterial$]]/FactTable[[#This Row],[unidadUsadaMaterial]],0)</f>
        <v>0</v>
      </c>
      <c r="J56" t="s">
        <v>113</v>
      </c>
      <c r="U56" s="3">
        <f>IFERROR(FactTable[[#This Row],[cantidadUsadaManoObra]]*FactTable[[#This Row],[costoManoObra$]]/FactTable[[#This Row],[unidadUsadaManoObra]],0)</f>
        <v>0</v>
      </c>
    </row>
    <row r="57" spans="1:22" x14ac:dyDescent="0.3">
      <c r="A57" t="s">
        <v>119</v>
      </c>
      <c r="B57" t="s">
        <v>61</v>
      </c>
      <c r="C57" t="s">
        <v>2</v>
      </c>
      <c r="I57" s="3">
        <f>IFERROR(FactTable[[#This Row],[cantidadUsadaMaterial]]*FactTable[[#This Row],[costoMaterial$]]/FactTable[[#This Row],[unidadUsadaMaterial]],0)</f>
        <v>0</v>
      </c>
      <c r="O57">
        <f>IFERROR(FactTable[[#This Row],[cantidadUsadaServicio]]*FactTable[[#This Row],[costoServicio$]]/FactTable[[#This Row],[unidadUsadaServicio]],0)</f>
        <v>0</v>
      </c>
      <c r="P57" t="s">
        <v>52</v>
      </c>
      <c r="U57" s="3">
        <v>1.56</v>
      </c>
    </row>
    <row r="58" spans="1:22" x14ac:dyDescent="0.3">
      <c r="A58" t="s">
        <v>119</v>
      </c>
      <c r="B58" t="s">
        <v>61</v>
      </c>
      <c r="C58" t="s">
        <v>15</v>
      </c>
      <c r="I58" s="3">
        <f>IFERROR(FactTable[[#This Row],[cantidadUsadaMaterial]]*FactTable[[#This Row],[costoMaterial$]]/FactTable[[#This Row],[unidadUsadaMaterial]],0)</f>
        <v>0</v>
      </c>
      <c r="O58">
        <f>IFERROR(FactTable[[#This Row],[cantidadUsadaServicio]]*FactTable[[#This Row],[costoServicio$]]/FactTable[[#This Row],[unidadUsadaServicio]],0)</f>
        <v>0</v>
      </c>
      <c r="U58" s="3">
        <f>IFERROR(FactTable[[#This Row],[cantidadUsadaManoObra]]*FactTable[[#This Row],[costoManoObra$]]/FactTable[[#This Row],[unidadUsadaManoObra]],0)</f>
        <v>0</v>
      </c>
      <c r="V58">
        <v>0.5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E2DB8-AFA6-4F94-95B9-D21FA5D989AD}">
  <sheetPr codeName="Hoja1"/>
  <dimension ref="A1:K8"/>
  <sheetViews>
    <sheetView workbookViewId="0">
      <selection activeCell="B13" sqref="B13"/>
    </sheetView>
  </sheetViews>
  <sheetFormatPr baseColWidth="10" defaultRowHeight="14.4" x14ac:dyDescent="0.3"/>
  <cols>
    <col min="1" max="1" width="14.77734375" bestFit="1" customWidth="1"/>
    <col min="2" max="2" width="21.21875" bestFit="1" customWidth="1"/>
    <col min="3" max="3" width="8.33203125" bestFit="1" customWidth="1"/>
    <col min="4" max="4" width="13.109375" bestFit="1" customWidth="1"/>
    <col min="5" max="5" width="10.6640625" bestFit="1" customWidth="1"/>
    <col min="7" max="7" width="21.6640625" customWidth="1"/>
    <col min="8" max="8" width="15.5546875" customWidth="1"/>
  </cols>
  <sheetData>
    <row r="1" spans="1:11" x14ac:dyDescent="0.3">
      <c r="A1" s="4" t="s">
        <v>27</v>
      </c>
      <c r="B1" t="s">
        <v>110</v>
      </c>
    </row>
    <row r="3" spans="1:11" x14ac:dyDescent="0.3">
      <c r="A3" s="4" t="s">
        <v>24</v>
      </c>
      <c r="B3" s="6" t="s">
        <v>22</v>
      </c>
      <c r="C3" s="6" t="s">
        <v>21</v>
      </c>
      <c r="D3" s="6" t="s">
        <v>2</v>
      </c>
      <c r="E3" s="6" t="s">
        <v>23</v>
      </c>
      <c r="G3" s="6" t="s">
        <v>25</v>
      </c>
      <c r="H3" s="6" t="s">
        <v>26</v>
      </c>
      <c r="J3" t="s">
        <v>25</v>
      </c>
      <c r="K3" t="s">
        <v>26</v>
      </c>
    </row>
    <row r="4" spans="1:11" x14ac:dyDescent="0.3">
      <c r="A4" s="5" t="s">
        <v>2</v>
      </c>
      <c r="B4" s="3">
        <v>0</v>
      </c>
      <c r="C4">
        <v>0</v>
      </c>
      <c r="D4" s="3">
        <v>2.5</v>
      </c>
      <c r="G4" t="s">
        <v>18</v>
      </c>
      <c r="H4" s="7">
        <f>B8+C8+D8</f>
        <v>2.8010000000000002</v>
      </c>
      <c r="J4" t="str">
        <f>B3</f>
        <v>Materiales</v>
      </c>
      <c r="K4" s="7">
        <f>B8</f>
        <v>0.27900000000000003</v>
      </c>
    </row>
    <row r="5" spans="1:11" x14ac:dyDescent="0.3">
      <c r="A5" s="5" t="s">
        <v>15</v>
      </c>
      <c r="B5" s="3">
        <v>0</v>
      </c>
      <c r="C5">
        <v>0</v>
      </c>
      <c r="D5" s="3">
        <v>0</v>
      </c>
      <c r="E5">
        <v>0.3</v>
      </c>
      <c r="G5" t="s">
        <v>19</v>
      </c>
      <c r="H5" s="9">
        <f>H4*E8</f>
        <v>0.84030000000000005</v>
      </c>
      <c r="J5" t="str">
        <f>C3</f>
        <v>Servicios</v>
      </c>
      <c r="K5" s="7">
        <f>C8</f>
        <v>2.1999999999999999E-2</v>
      </c>
    </row>
    <row r="6" spans="1:11" x14ac:dyDescent="0.3">
      <c r="A6" s="5" t="s">
        <v>0</v>
      </c>
      <c r="B6" s="3">
        <v>0.27900000000000003</v>
      </c>
      <c r="C6">
        <v>0</v>
      </c>
      <c r="D6" s="3">
        <v>0</v>
      </c>
      <c r="G6" t="s">
        <v>20</v>
      </c>
      <c r="H6" s="7">
        <f>SUM(H4:H5)</f>
        <v>3.6413000000000002</v>
      </c>
      <c r="J6" t="str">
        <f>D3</f>
        <v>Mano de Obra</v>
      </c>
      <c r="K6" s="7">
        <f>D8</f>
        <v>2.5</v>
      </c>
    </row>
    <row r="7" spans="1:11" x14ac:dyDescent="0.3">
      <c r="A7" s="5" t="s">
        <v>1</v>
      </c>
      <c r="B7" s="3">
        <v>0</v>
      </c>
      <c r="C7">
        <v>2.1999999999999999E-2</v>
      </c>
      <c r="D7" s="3">
        <v>0</v>
      </c>
    </row>
    <row r="8" spans="1:11" x14ac:dyDescent="0.3">
      <c r="A8" s="5" t="s">
        <v>17</v>
      </c>
      <c r="B8" s="7">
        <v>0.27900000000000003</v>
      </c>
      <c r="C8" s="7">
        <v>2.1999999999999999E-2</v>
      </c>
      <c r="D8" s="7">
        <v>2.5</v>
      </c>
      <c r="E8" s="8">
        <v>0.3</v>
      </c>
    </row>
  </sheetData>
  <pageMargins left="0.7" right="0.7" top="0.75" bottom="0.75" header="0.3" footer="0.3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9AB2D-34B0-43CF-9BCC-9D220F57E6D6}">
  <sheetPr codeName="Hoja4"/>
  <dimension ref="A1:D22"/>
  <sheetViews>
    <sheetView zoomScale="95" zoomScaleNormal="95" workbookViewId="0">
      <selection activeCell="C5" sqref="C5"/>
    </sheetView>
  </sheetViews>
  <sheetFormatPr baseColWidth="10" defaultRowHeight="14.4" x14ac:dyDescent="0.3"/>
  <cols>
    <col min="1" max="1" width="30.6640625" bestFit="1" customWidth="1"/>
    <col min="2" max="2" width="25.33203125" customWidth="1"/>
    <col min="3" max="3" width="45.6640625" customWidth="1"/>
    <col min="4" max="4" width="24.44140625" customWidth="1"/>
  </cols>
  <sheetData>
    <row r="1" spans="1:4" ht="18.600000000000001" x14ac:dyDescent="0.45">
      <c r="A1" s="14" t="s">
        <v>62</v>
      </c>
      <c r="B1" s="14" t="s">
        <v>44</v>
      </c>
      <c r="C1" s="14" t="s">
        <v>75</v>
      </c>
      <c r="D1" s="14" t="s">
        <v>80</v>
      </c>
    </row>
    <row r="2" spans="1:4" ht="18.600000000000001" x14ac:dyDescent="0.45">
      <c r="A2" s="14" t="s">
        <v>63</v>
      </c>
      <c r="B2" s="14" t="s">
        <v>68</v>
      </c>
      <c r="C2" s="14" t="s">
        <v>67</v>
      </c>
      <c r="D2" s="14">
        <v>1</v>
      </c>
    </row>
    <row r="3" spans="1:4" ht="18.600000000000001" x14ac:dyDescent="0.45">
      <c r="A3" s="14" t="s">
        <v>43</v>
      </c>
      <c r="B3" s="14" t="s">
        <v>43</v>
      </c>
      <c r="C3" s="14" t="s">
        <v>76</v>
      </c>
      <c r="D3" s="14">
        <v>1</v>
      </c>
    </row>
    <row r="4" spans="1:4" ht="18.600000000000001" x14ac:dyDescent="0.45">
      <c r="A4" s="14" t="s">
        <v>64</v>
      </c>
      <c r="B4" s="14" t="s">
        <v>103</v>
      </c>
      <c r="C4" s="14" t="s">
        <v>79</v>
      </c>
      <c r="D4" s="14">
        <v>1</v>
      </c>
    </row>
    <row r="5" spans="1:4" ht="18.600000000000001" x14ac:dyDescent="0.45">
      <c r="A5" s="14" t="s">
        <v>63</v>
      </c>
      <c r="B5" s="14" t="s">
        <v>85</v>
      </c>
      <c r="C5" s="14" t="s">
        <v>67</v>
      </c>
      <c r="D5" s="14">
        <v>2</v>
      </c>
    </row>
    <row r="6" spans="1:4" ht="18.600000000000001" x14ac:dyDescent="0.45">
      <c r="A6" s="14" t="s">
        <v>63</v>
      </c>
      <c r="B6" s="14" t="s">
        <v>86</v>
      </c>
      <c r="C6" s="14" t="s">
        <v>67</v>
      </c>
      <c r="D6" s="14">
        <v>3</v>
      </c>
    </row>
    <row r="7" spans="1:4" ht="18.600000000000001" x14ac:dyDescent="0.45">
      <c r="A7" s="14" t="s">
        <v>64</v>
      </c>
      <c r="B7" s="14" t="s">
        <v>99</v>
      </c>
      <c r="C7" s="14" t="s">
        <v>79</v>
      </c>
      <c r="D7" s="14">
        <v>2</v>
      </c>
    </row>
    <row r="8" spans="1:4" ht="18.600000000000001" x14ac:dyDescent="0.45">
      <c r="A8" s="14" t="s">
        <v>65</v>
      </c>
      <c r="B8" s="14" t="s">
        <v>95</v>
      </c>
      <c r="C8" s="14" t="s">
        <v>77</v>
      </c>
      <c r="D8" s="14">
        <v>2</v>
      </c>
    </row>
    <row r="9" spans="1:4" ht="18.600000000000001" x14ac:dyDescent="0.45">
      <c r="A9" s="14" t="s">
        <v>66</v>
      </c>
      <c r="B9" s="14" t="s">
        <v>69</v>
      </c>
      <c r="C9" s="14" t="s">
        <v>78</v>
      </c>
      <c r="D9" s="14">
        <v>5</v>
      </c>
    </row>
    <row r="10" spans="1:4" ht="18.600000000000001" x14ac:dyDescent="0.45">
      <c r="A10" s="14" t="s">
        <v>66</v>
      </c>
      <c r="B10" s="14" t="s">
        <v>70</v>
      </c>
      <c r="C10" s="14" t="s">
        <v>78</v>
      </c>
      <c r="D10" s="14">
        <v>4</v>
      </c>
    </row>
    <row r="11" spans="1:4" ht="18.600000000000001" x14ac:dyDescent="0.45">
      <c r="A11" s="14" t="s">
        <v>66</v>
      </c>
      <c r="B11" s="14" t="s">
        <v>71</v>
      </c>
      <c r="C11" s="14" t="s">
        <v>78</v>
      </c>
      <c r="D11" s="14">
        <v>6</v>
      </c>
    </row>
    <row r="12" spans="1:4" ht="18.600000000000001" x14ac:dyDescent="0.45">
      <c r="A12" s="14" t="s">
        <v>66</v>
      </c>
      <c r="B12" s="14" t="s">
        <v>72</v>
      </c>
      <c r="C12" s="14" t="s">
        <v>78</v>
      </c>
      <c r="D12" s="14">
        <v>7</v>
      </c>
    </row>
    <row r="13" spans="1:4" ht="18.600000000000001" x14ac:dyDescent="0.45">
      <c r="A13" s="14" t="s">
        <v>66</v>
      </c>
      <c r="B13" s="14" t="s">
        <v>73</v>
      </c>
      <c r="C13" s="14" t="s">
        <v>78</v>
      </c>
      <c r="D13" s="14">
        <v>3</v>
      </c>
    </row>
    <row r="14" spans="1:4" ht="18.600000000000001" x14ac:dyDescent="0.45">
      <c r="A14" s="14" t="s">
        <v>66</v>
      </c>
      <c r="B14" s="14" t="s">
        <v>74</v>
      </c>
      <c r="C14" s="14" t="s">
        <v>78</v>
      </c>
      <c r="D14" s="14">
        <v>2</v>
      </c>
    </row>
    <row r="15" spans="1:4" ht="18.600000000000001" x14ac:dyDescent="0.45">
      <c r="A15" s="14" t="s">
        <v>66</v>
      </c>
      <c r="B15" s="14" t="s">
        <v>100</v>
      </c>
      <c r="C15" s="14" t="s">
        <v>78</v>
      </c>
      <c r="D15" s="14">
        <v>1</v>
      </c>
    </row>
    <row r="16" spans="1:4" ht="18.600000000000001" x14ac:dyDescent="0.45">
      <c r="A16" s="14" t="s">
        <v>65</v>
      </c>
      <c r="B16" s="14" t="s">
        <v>104</v>
      </c>
      <c r="C16" s="14" t="s">
        <v>77</v>
      </c>
      <c r="D16" s="14">
        <v>1</v>
      </c>
    </row>
    <row r="17" spans="1:4" ht="18.600000000000001" x14ac:dyDescent="0.45">
      <c r="A17" s="14" t="s">
        <v>65</v>
      </c>
      <c r="B17" s="14" t="s">
        <v>96</v>
      </c>
      <c r="C17" s="14" t="s">
        <v>77</v>
      </c>
      <c r="D17" s="14">
        <v>5</v>
      </c>
    </row>
    <row r="18" spans="1:4" ht="18.600000000000001" x14ac:dyDescent="0.45">
      <c r="A18" s="14" t="s">
        <v>81</v>
      </c>
      <c r="B18" s="14" t="s">
        <v>82</v>
      </c>
      <c r="C18" s="14" t="s">
        <v>83</v>
      </c>
      <c r="D18" s="14">
        <v>1</v>
      </c>
    </row>
    <row r="19" spans="1:4" ht="18.600000000000001" x14ac:dyDescent="0.45">
      <c r="A19" s="14" t="s">
        <v>64</v>
      </c>
      <c r="B19" s="14" t="s">
        <v>101</v>
      </c>
      <c r="C19" s="14" t="s">
        <v>79</v>
      </c>
      <c r="D19" s="14">
        <v>3</v>
      </c>
    </row>
    <row r="20" spans="1:4" ht="18.600000000000001" x14ac:dyDescent="0.45">
      <c r="A20" s="14" t="s">
        <v>64</v>
      </c>
      <c r="B20" s="14" t="s">
        <v>102</v>
      </c>
      <c r="C20" s="14" t="s">
        <v>79</v>
      </c>
      <c r="D20" s="14">
        <v>4</v>
      </c>
    </row>
    <row r="21" spans="1:4" ht="18.600000000000001" x14ac:dyDescent="0.45">
      <c r="A21" s="14" t="s">
        <v>65</v>
      </c>
      <c r="B21" s="14" t="s">
        <v>97</v>
      </c>
      <c r="C21" s="14" t="s">
        <v>77</v>
      </c>
      <c r="D21" s="14">
        <v>3</v>
      </c>
    </row>
    <row r="22" spans="1:4" ht="18.600000000000001" x14ac:dyDescent="0.45">
      <c r="A22" s="14" t="s">
        <v>65</v>
      </c>
      <c r="B22" s="14" t="s">
        <v>98</v>
      </c>
      <c r="C22" s="14" t="s">
        <v>77</v>
      </c>
      <c r="D22" s="14">
        <v>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7E957-4D55-48B5-B029-B59EB45EC0B4}">
  <sheetPr codeName="Hoja6"/>
  <dimension ref="A1:G28"/>
  <sheetViews>
    <sheetView topLeftCell="A13" workbookViewId="0"/>
  </sheetViews>
  <sheetFormatPr baseColWidth="10" defaultColWidth="11.5546875" defaultRowHeight="18.600000000000001" x14ac:dyDescent="0.45"/>
  <cols>
    <col min="1" max="1" width="33.44140625" style="14" bestFit="1" customWidth="1"/>
    <col min="2" max="2" width="30.6640625" style="14" bestFit="1" customWidth="1"/>
    <col min="3" max="3" width="24.88671875" style="14" bestFit="1" customWidth="1"/>
    <col min="4" max="4" width="30" style="14" bestFit="1" customWidth="1"/>
    <col min="5" max="5" width="21.5546875" style="14" bestFit="1" customWidth="1"/>
    <col min="6" max="6" width="24.88671875" style="14" bestFit="1" customWidth="1"/>
    <col min="7" max="7" width="10.6640625" style="14" bestFit="1" customWidth="1"/>
    <col min="8" max="16384" width="11.5546875" style="14"/>
  </cols>
  <sheetData>
    <row r="1" spans="1:7" x14ac:dyDescent="0.45">
      <c r="A1" s="14" t="s">
        <v>31</v>
      </c>
      <c r="B1" s="14" t="s">
        <v>62</v>
      </c>
      <c r="C1" s="14" t="s">
        <v>105</v>
      </c>
      <c r="D1" s="14" t="s">
        <v>107</v>
      </c>
      <c r="E1" s="14" t="s">
        <v>108</v>
      </c>
      <c r="F1" s="14" t="s">
        <v>106</v>
      </c>
      <c r="G1" s="14" t="s">
        <v>40</v>
      </c>
    </row>
    <row r="2" spans="1:7" x14ac:dyDescent="0.45">
      <c r="A2" s="14" t="s">
        <v>48</v>
      </c>
      <c r="B2" s="14" t="s">
        <v>63</v>
      </c>
      <c r="C2" s="14" t="s">
        <v>68</v>
      </c>
      <c r="D2" s="26">
        <v>9</v>
      </c>
      <c r="E2" s="14" t="s">
        <v>85</v>
      </c>
      <c r="F2" s="26">
        <v>10</v>
      </c>
      <c r="G2" s="26">
        <v>10</v>
      </c>
    </row>
    <row r="3" spans="1:7" x14ac:dyDescent="0.45">
      <c r="A3" s="14" t="s">
        <v>114</v>
      </c>
      <c r="B3" s="14" t="s">
        <v>63</v>
      </c>
      <c r="C3" s="14" t="s">
        <v>68</v>
      </c>
      <c r="D3" s="26">
        <v>8</v>
      </c>
      <c r="E3" s="14" t="s">
        <v>85</v>
      </c>
      <c r="F3" s="26">
        <v>30</v>
      </c>
      <c r="G3" s="26">
        <v>8</v>
      </c>
    </row>
    <row r="4" spans="1:7" x14ac:dyDescent="0.45">
      <c r="A4" s="14" t="s">
        <v>115</v>
      </c>
      <c r="D4" s="26"/>
      <c r="F4" s="26"/>
      <c r="G4" s="26"/>
    </row>
    <row r="5" spans="1:7" x14ac:dyDescent="0.45">
      <c r="A5" s="14" t="s">
        <v>116</v>
      </c>
      <c r="D5" s="26"/>
      <c r="F5" s="26"/>
      <c r="G5" s="26"/>
    </row>
    <row r="6" spans="1:7" x14ac:dyDescent="0.45">
      <c r="A6" s="14" t="s">
        <v>117</v>
      </c>
      <c r="B6" s="14" t="s">
        <v>63</v>
      </c>
      <c r="C6" s="14" t="s">
        <v>68</v>
      </c>
      <c r="D6" s="26">
        <v>26</v>
      </c>
      <c r="E6" s="14" t="s">
        <v>85</v>
      </c>
      <c r="F6" s="26">
        <v>60</v>
      </c>
      <c r="G6" s="26">
        <v>7</v>
      </c>
    </row>
    <row r="7" spans="1:7" x14ac:dyDescent="0.45">
      <c r="A7" s="14" t="s">
        <v>118</v>
      </c>
      <c r="B7" s="14" t="s">
        <v>63</v>
      </c>
      <c r="C7" s="14" t="s">
        <v>68</v>
      </c>
      <c r="D7" s="26">
        <v>46</v>
      </c>
      <c r="E7" s="14" t="s">
        <v>85</v>
      </c>
      <c r="F7" s="26">
        <v>50</v>
      </c>
      <c r="G7" s="26">
        <v>6</v>
      </c>
    </row>
    <row r="8" spans="1:7" x14ac:dyDescent="0.45">
      <c r="A8" s="14" t="s">
        <v>132</v>
      </c>
      <c r="D8" s="26"/>
      <c r="F8" s="26"/>
      <c r="G8" s="26"/>
    </row>
    <row r="9" spans="1:7" x14ac:dyDescent="0.45">
      <c r="A9" s="14" t="s">
        <v>133</v>
      </c>
      <c r="D9" s="26"/>
      <c r="F9" s="26"/>
      <c r="G9" s="26"/>
    </row>
    <row r="10" spans="1:7" x14ac:dyDescent="0.45">
      <c r="A10" s="14" t="s">
        <v>126</v>
      </c>
      <c r="B10" s="14" t="s">
        <v>43</v>
      </c>
      <c r="C10" s="14" t="s">
        <v>43</v>
      </c>
      <c r="D10" s="26">
        <v>100</v>
      </c>
      <c r="E10" s="14" t="s">
        <v>43</v>
      </c>
      <c r="F10" s="26">
        <v>9</v>
      </c>
      <c r="G10" s="26">
        <v>3.6</v>
      </c>
    </row>
    <row r="11" spans="1:7" x14ac:dyDescent="0.45">
      <c r="A11" s="14" t="s">
        <v>60</v>
      </c>
      <c r="B11" s="14" t="s">
        <v>43</v>
      </c>
      <c r="C11" s="14" t="s">
        <v>43</v>
      </c>
      <c r="D11" s="26">
        <v>100</v>
      </c>
      <c r="E11" s="14" t="s">
        <v>43</v>
      </c>
      <c r="F11" s="26">
        <v>1</v>
      </c>
      <c r="G11" s="26">
        <v>1.3</v>
      </c>
    </row>
    <row r="12" spans="1:7" x14ac:dyDescent="0.45">
      <c r="A12" s="14" t="s">
        <v>50</v>
      </c>
    </row>
    <row r="13" spans="1:7" x14ac:dyDescent="0.45">
      <c r="A13" s="14" t="s">
        <v>112</v>
      </c>
      <c r="B13" s="14" t="s">
        <v>43</v>
      </c>
      <c r="C13" s="14" t="s">
        <v>43</v>
      </c>
      <c r="D13" s="26">
        <v>129</v>
      </c>
      <c r="E13" s="14" t="s">
        <v>43</v>
      </c>
      <c r="F13" s="26">
        <v>46</v>
      </c>
      <c r="G13" s="26">
        <v>0.6</v>
      </c>
    </row>
    <row r="14" spans="1:7" x14ac:dyDescent="0.45">
      <c r="A14" s="14" t="s">
        <v>125</v>
      </c>
      <c r="B14" s="14" t="s">
        <v>43</v>
      </c>
      <c r="C14" s="14" t="s">
        <v>43</v>
      </c>
      <c r="D14" s="26">
        <v>1</v>
      </c>
      <c r="E14" s="14" t="s">
        <v>43</v>
      </c>
      <c r="F14" s="26">
        <v>1</v>
      </c>
      <c r="G14" s="26">
        <v>1</v>
      </c>
    </row>
    <row r="15" spans="1:7" x14ac:dyDescent="0.45">
      <c r="A15" s="14" t="s">
        <v>109</v>
      </c>
    </row>
    <row r="16" spans="1:7" x14ac:dyDescent="0.45">
      <c r="A16" s="14" t="s">
        <v>121</v>
      </c>
      <c r="B16" s="14" t="s">
        <v>43</v>
      </c>
      <c r="C16" s="14" t="s">
        <v>43</v>
      </c>
      <c r="D16" s="26">
        <v>40</v>
      </c>
      <c r="E16" s="14" t="s">
        <v>43</v>
      </c>
      <c r="F16" s="26">
        <v>1</v>
      </c>
      <c r="G16" s="26">
        <v>10</v>
      </c>
    </row>
    <row r="17" spans="1:7" x14ac:dyDescent="0.45">
      <c r="A17" s="14" t="s">
        <v>131</v>
      </c>
      <c r="D17" s="26"/>
      <c r="F17" s="26"/>
      <c r="G17" s="26"/>
    </row>
    <row r="18" spans="1:7" x14ac:dyDescent="0.45">
      <c r="A18" s="14" t="s">
        <v>129</v>
      </c>
      <c r="D18" s="26"/>
      <c r="F18" s="26"/>
      <c r="G18" s="26"/>
    </row>
    <row r="19" spans="1:7" x14ac:dyDescent="0.45">
      <c r="A19" s="14" t="s">
        <v>120</v>
      </c>
      <c r="B19" s="14" t="s">
        <v>63</v>
      </c>
      <c r="C19" s="14" t="s">
        <v>68</v>
      </c>
      <c r="D19" s="26">
        <v>45</v>
      </c>
      <c r="E19" s="14" t="s">
        <v>85</v>
      </c>
      <c r="F19" s="26">
        <v>215</v>
      </c>
      <c r="G19" s="26">
        <v>1.5</v>
      </c>
    </row>
    <row r="20" spans="1:7" x14ac:dyDescent="0.45">
      <c r="A20" s="14" t="s">
        <v>128</v>
      </c>
      <c r="D20" s="26"/>
      <c r="F20" s="26"/>
      <c r="G20" s="26"/>
    </row>
    <row r="21" spans="1:7" x14ac:dyDescent="0.45">
      <c r="A21" s="14" t="s">
        <v>58</v>
      </c>
    </row>
    <row r="22" spans="1:7" x14ac:dyDescent="0.45">
      <c r="A22" s="14" t="s">
        <v>46</v>
      </c>
    </row>
    <row r="23" spans="1:7" x14ac:dyDescent="0.45">
      <c r="A23" s="14" t="s">
        <v>45</v>
      </c>
    </row>
    <row r="24" spans="1:7" x14ac:dyDescent="0.45">
      <c r="A24" s="14" t="s">
        <v>130</v>
      </c>
      <c r="D24" s="26"/>
      <c r="F24" s="26"/>
      <c r="G24" s="26"/>
    </row>
    <row r="25" spans="1:7" x14ac:dyDescent="0.45">
      <c r="A25" s="14" t="s">
        <v>59</v>
      </c>
    </row>
    <row r="26" spans="1:7" x14ac:dyDescent="0.45">
      <c r="A26" s="14" t="s">
        <v>47</v>
      </c>
      <c r="B26" s="14" t="s">
        <v>43</v>
      </c>
      <c r="C26" s="14" t="s">
        <v>43</v>
      </c>
      <c r="D26" s="26">
        <v>100</v>
      </c>
      <c r="E26" s="14" t="s">
        <v>43</v>
      </c>
      <c r="F26" s="26">
        <v>1</v>
      </c>
      <c r="G26" s="26">
        <v>6</v>
      </c>
    </row>
    <row r="27" spans="1:7" x14ac:dyDescent="0.45">
      <c r="A27" s="14" t="s">
        <v>123</v>
      </c>
      <c r="B27" s="14" t="s">
        <v>63</v>
      </c>
      <c r="C27" s="14" t="s">
        <v>68</v>
      </c>
      <c r="D27" s="26">
        <v>100</v>
      </c>
      <c r="E27" s="14" t="s">
        <v>68</v>
      </c>
      <c r="F27" s="26">
        <v>4.5</v>
      </c>
      <c r="G27" s="26">
        <v>5</v>
      </c>
    </row>
    <row r="28" spans="1:7" x14ac:dyDescent="0.45">
      <c r="A28" s="14" t="s">
        <v>124</v>
      </c>
      <c r="B28" s="14" t="s">
        <v>43</v>
      </c>
      <c r="C28" s="14" t="s">
        <v>43</v>
      </c>
      <c r="D28" s="26">
        <v>1</v>
      </c>
      <c r="E28" s="14" t="s">
        <v>43</v>
      </c>
      <c r="F28" s="26">
        <v>1</v>
      </c>
      <c r="G28" s="26">
        <v>1.5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5508A-792B-4235-A23F-6B5271319979}">
  <sheetPr codeName="Hoja11"/>
  <dimension ref="A1:G5"/>
  <sheetViews>
    <sheetView workbookViewId="0">
      <selection activeCell="C22" sqref="C22"/>
    </sheetView>
  </sheetViews>
  <sheetFormatPr baseColWidth="10" defaultRowHeight="14.4" x14ac:dyDescent="0.3"/>
  <cols>
    <col min="1" max="1" width="17.109375" bestFit="1" customWidth="1"/>
    <col min="2" max="2" width="30.66406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14" t="s">
        <v>33</v>
      </c>
      <c r="B1" s="14" t="s">
        <v>62</v>
      </c>
      <c r="C1" s="14" t="s">
        <v>105</v>
      </c>
      <c r="D1" s="14" t="s">
        <v>107</v>
      </c>
      <c r="E1" s="14" t="s">
        <v>108</v>
      </c>
      <c r="F1" s="14" t="s">
        <v>106</v>
      </c>
      <c r="G1" s="14" t="s">
        <v>40</v>
      </c>
    </row>
    <row r="2" spans="1:7" ht="18.600000000000001" x14ac:dyDescent="0.45">
      <c r="A2" s="14" t="s">
        <v>51</v>
      </c>
      <c r="B2" s="14" t="s">
        <v>66</v>
      </c>
      <c r="C2" s="14" t="s">
        <v>69</v>
      </c>
      <c r="D2" s="26">
        <v>1</v>
      </c>
      <c r="E2" s="14" t="s">
        <v>74</v>
      </c>
      <c r="F2" s="26">
        <v>45</v>
      </c>
      <c r="G2" s="26">
        <v>20</v>
      </c>
    </row>
    <row r="3" spans="1:7" ht="18.600000000000001" x14ac:dyDescent="0.45">
      <c r="A3" s="14" t="s">
        <v>54</v>
      </c>
      <c r="B3" s="14" t="s">
        <v>66</v>
      </c>
      <c r="C3" s="14" t="s">
        <v>71</v>
      </c>
      <c r="D3" s="26">
        <v>1</v>
      </c>
      <c r="E3" s="14" t="s">
        <v>73</v>
      </c>
      <c r="F3" s="26">
        <v>0.75</v>
      </c>
      <c r="G3" s="26">
        <v>5</v>
      </c>
    </row>
    <row r="4" spans="1:7" ht="18.600000000000001" x14ac:dyDescent="0.45">
      <c r="A4" s="14" t="s">
        <v>56</v>
      </c>
      <c r="B4" s="14" t="s">
        <v>66</v>
      </c>
      <c r="C4" s="14" t="s">
        <v>71</v>
      </c>
      <c r="D4" s="26">
        <v>1</v>
      </c>
      <c r="E4" s="14" t="s">
        <v>74</v>
      </c>
      <c r="F4" s="26">
        <v>30</v>
      </c>
      <c r="G4" s="26">
        <v>25</v>
      </c>
    </row>
    <row r="5" spans="1:7" ht="18.600000000000001" x14ac:dyDescent="0.45">
      <c r="A5" s="14" t="s">
        <v>113</v>
      </c>
      <c r="B5" s="14" t="s">
        <v>81</v>
      </c>
      <c r="C5" s="14" t="s">
        <v>82</v>
      </c>
      <c r="D5" s="26">
        <v>100</v>
      </c>
      <c r="E5" s="14" t="s">
        <v>82</v>
      </c>
      <c r="F5" s="26">
        <v>1.6699999570846558</v>
      </c>
      <c r="G5" s="26">
        <v>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BA6E-E4FF-4C5D-AED7-937FE3270E94}">
  <sheetPr codeName="Hoja9"/>
  <dimension ref="A1:G3"/>
  <sheetViews>
    <sheetView workbookViewId="0">
      <selection activeCell="C9" sqref="C9"/>
    </sheetView>
  </sheetViews>
  <sheetFormatPr baseColWidth="10" defaultColWidth="12.6640625" defaultRowHeight="14.4" x14ac:dyDescent="0.3"/>
  <cols>
    <col min="1" max="1" width="23.33203125" bestFit="1" customWidth="1"/>
    <col min="2" max="2" width="24.332031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14" t="s">
        <v>34</v>
      </c>
      <c r="B1" s="14" t="s">
        <v>62</v>
      </c>
      <c r="C1" s="14" t="s">
        <v>105</v>
      </c>
      <c r="D1" s="14" t="s">
        <v>107</v>
      </c>
      <c r="E1" s="14" t="s">
        <v>108</v>
      </c>
      <c r="F1" s="14" t="s">
        <v>106</v>
      </c>
      <c r="G1" s="14" t="s">
        <v>40</v>
      </c>
    </row>
    <row r="2" spans="1:7" ht="18.600000000000001" x14ac:dyDescent="0.45">
      <c r="A2" s="14" t="s">
        <v>52</v>
      </c>
      <c r="B2" s="14" t="s">
        <v>66</v>
      </c>
      <c r="C2" s="14" t="s">
        <v>73</v>
      </c>
      <c r="D2" s="26">
        <v>1</v>
      </c>
      <c r="E2" s="14" t="s">
        <v>73</v>
      </c>
      <c r="F2" s="26">
        <v>1</v>
      </c>
      <c r="G2" s="26">
        <v>3.12</v>
      </c>
    </row>
    <row r="3" spans="1:7" ht="18.600000000000001" x14ac:dyDescent="0.45">
      <c r="A3" s="14" t="s">
        <v>84</v>
      </c>
      <c r="B3" s="14" t="s">
        <v>66</v>
      </c>
      <c r="C3" s="14" t="s">
        <v>69</v>
      </c>
      <c r="D3" s="26">
        <v>1</v>
      </c>
      <c r="E3" s="14" t="s">
        <v>70</v>
      </c>
      <c r="F3" s="26">
        <v>2</v>
      </c>
      <c r="G3" s="26">
        <v>20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C67C-E41F-4183-8962-574624EF1477}">
  <sheetPr codeName="Hoja10"/>
  <dimension ref="A1:A7"/>
  <sheetViews>
    <sheetView workbookViewId="0">
      <selection activeCell="A4" sqref="A4"/>
    </sheetView>
  </sheetViews>
  <sheetFormatPr baseColWidth="10" defaultRowHeight="14.4" x14ac:dyDescent="0.3"/>
  <cols>
    <col min="1" max="1" width="33.6640625" customWidth="1"/>
  </cols>
  <sheetData>
    <row r="1" spans="1:1" ht="18.600000000000001" x14ac:dyDescent="0.45">
      <c r="A1" s="14" t="s">
        <v>36</v>
      </c>
    </row>
    <row r="2" spans="1:1" ht="18.600000000000001" x14ac:dyDescent="0.45">
      <c r="A2" s="14" t="s">
        <v>61</v>
      </c>
    </row>
    <row r="3" spans="1:1" ht="18.600000000000001" x14ac:dyDescent="0.45">
      <c r="A3" s="14" t="s">
        <v>53</v>
      </c>
    </row>
    <row r="4" spans="1:1" ht="18.600000000000001" x14ac:dyDescent="0.45">
      <c r="A4" s="14" t="s">
        <v>57</v>
      </c>
    </row>
    <row r="5" spans="1:1" ht="18.600000000000001" x14ac:dyDescent="0.45">
      <c r="A5" s="14" t="s">
        <v>119</v>
      </c>
    </row>
    <row r="6" spans="1:1" ht="18.600000000000001" x14ac:dyDescent="0.45">
      <c r="A6" s="14" t="s">
        <v>122</v>
      </c>
    </row>
    <row r="7" spans="1:1" ht="18.600000000000001" x14ac:dyDescent="0.45">
      <c r="A7" s="14" t="s">
        <v>127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D42D1-6E74-483D-95E7-FFB8B9FBBBFF}">
  <sheetPr codeName="Hoja7"/>
  <dimension ref="A1:C17"/>
  <sheetViews>
    <sheetView workbookViewId="0">
      <selection activeCell="A4" sqref="A4"/>
    </sheetView>
  </sheetViews>
  <sheetFormatPr baseColWidth="10" defaultColWidth="12.44140625" defaultRowHeight="14.4" x14ac:dyDescent="0.3"/>
  <cols>
    <col min="2" max="2" width="37.5546875" customWidth="1"/>
    <col min="3" max="3" width="25.33203125" bestFit="1" customWidth="1"/>
  </cols>
  <sheetData>
    <row r="1" spans="1:3" x14ac:dyDescent="0.3">
      <c r="A1" t="s">
        <v>38</v>
      </c>
      <c r="B1" t="s">
        <v>93</v>
      </c>
      <c r="C1" t="s">
        <v>94</v>
      </c>
    </row>
    <row r="17" spans="3:3" x14ac:dyDescent="0.3">
      <c r="C17" s="3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Formulario</vt:lpstr>
      <vt:lpstr>UNIDADES</vt:lpstr>
      <vt:lpstr>MATERIALES</vt:lpstr>
      <vt:lpstr>SERVICIOS</vt:lpstr>
      <vt:lpstr>MANO_DE_OBRA</vt:lpstr>
      <vt:lpstr>CATEGORIAS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Maryvi Camacho</dc:creator>
  <cp:lastModifiedBy>Maryvi Camacho</cp:lastModifiedBy>
  <dcterms:created xsi:type="dcterms:W3CDTF">2025-03-20T14:29:23Z</dcterms:created>
  <dcterms:modified xsi:type="dcterms:W3CDTF">2025-04-22T16:36:43Z</dcterms:modified>
</cp:coreProperties>
</file>