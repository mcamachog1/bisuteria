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CD73663A-9445-4146-927D-EF31DB9303F2}" xr6:coauthVersionLast="47" xr6:coauthVersionMax="47" xr10:uidLastSave="{00000000-0000-0000-0000-000000000000}"/>
  <bookViews>
    <workbookView xWindow="-108" yWindow="-108" windowWidth="23256" windowHeight="12456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state="hidden" r:id="rId6"/>
    <sheet name="SERVICIOS" sheetId="17" state="hidden" r:id="rId7"/>
    <sheet name="MANO_DE_OBRA" sheetId="15" state="hidden" r:id="rId8"/>
    <sheet name="CATEGORIAS" sheetId="16" state="hidden" r:id="rId9"/>
    <sheet name="Notas" sheetId="9" state="veryHidden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6" i="2" l="1"/>
  <c r="O46" i="2"/>
  <c r="U46" i="2"/>
  <c r="I45" i="2"/>
  <c r="O45" i="2"/>
  <c r="I44" i="2"/>
  <c r="U44" i="2"/>
  <c r="I43" i="2"/>
  <c r="U43" i="2"/>
  <c r="I42" i="2"/>
  <c r="U42" i="2"/>
  <c r="I41" i="2"/>
  <c r="U41" i="2"/>
  <c r="O40" i="2"/>
  <c r="U40" i="2"/>
  <c r="O39" i="2"/>
  <c r="U39" i="2"/>
  <c r="O38" i="2"/>
  <c r="U38" i="2"/>
  <c r="O37" i="2"/>
  <c r="U37" i="2"/>
  <c r="I36" i="2"/>
  <c r="O36" i="2"/>
  <c r="U36" i="2"/>
  <c r="I35" i="2"/>
  <c r="O35" i="2"/>
  <c r="I34" i="2"/>
  <c r="U34" i="2"/>
  <c r="I33" i="2"/>
  <c r="U33" i="2"/>
  <c r="I32" i="2"/>
  <c r="U32" i="2"/>
  <c r="O31" i="2"/>
  <c r="U31" i="2"/>
  <c r="O30" i="2"/>
  <c r="U30" i="2"/>
  <c r="O29" i="2"/>
  <c r="U29" i="2"/>
  <c r="I28" i="2"/>
  <c r="O28" i="2"/>
  <c r="U28" i="2"/>
  <c r="I27" i="2"/>
  <c r="O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K6" i="4"/>
  <c r="K5" i="4"/>
  <c r="K4" i="4"/>
  <c r="J6" i="4"/>
  <c r="J5" i="4"/>
  <c r="J4" i="4"/>
  <c r="H4" i="4"/>
  <c r="H5" i="4" s="1"/>
  <c r="M10" i="6" l="1"/>
  <c r="K33" i="6"/>
  <c r="M7" i="6"/>
  <c r="K32" i="6"/>
  <c r="M4" i="6"/>
  <c r="K31" i="6"/>
  <c r="H6" i="4"/>
  <c r="M13" i="6" l="1"/>
  <c r="M16" i="6" s="1"/>
</calcChain>
</file>

<file path=xl/sharedStrings.xml><?xml version="1.0" encoding="utf-8"?>
<sst xmlns="http://schemas.openxmlformats.org/spreadsheetml/2006/main" count="390" uniqueCount="120">
  <si>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</si>
  <si>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</si>
  <si>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</si>
  <si>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</si>
  <si>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</si>
  <si>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</si>
  <si>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</si>
  <si>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</si>
  <si>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</si>
  <si>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</si>
  <si>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</si>
  <si>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</si>
  <si>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</si>
  <si>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</si>
  <si>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</si>
  <si>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</si>
  <si>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</si>
  <si>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</si>
  <si>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</si>
  <si>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</si>
  <si>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</si>
  <si>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</si>
  <si>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</si>
  <si>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</si>
  <si>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</si>
  <si>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</si>
  <si>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</si>
  <si>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</si>
  <si>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</si>
  <si>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</si>
  <si>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</si>
  <si>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</si>
  <si>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</si>
  <si>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</si>
  <si>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</si>
  <si>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</si>
  <si>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</si>
  <si>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</si>
  <si>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Validar que Materiales, Servicio y Mano De Obra tengan datos antes de grabar. Ninguno puede estar vacio</t>
  </si>
  <si>
    <t>1.-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</si>
  <si>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</si>
  <si>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</si>
  <si>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</si>
  <si>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</si>
  <si>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</si>
  <si>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</si>
  <si>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</si>
  <si>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</si>
  <si>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</si>
  <si>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</si>
  <si>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 xml:space="preserve">2.- </t>
  </si>
  <si>
    <t>CrearListaDesplegableDesdeTabla está duplicada con otra subrutina. Dejas una sola</t>
  </si>
  <si>
    <t>ALAMBRE</t>
  </si>
  <si>
    <t>3.-</t>
  </si>
  <si>
    <t>Mayusculas en las listas de materiales al cargar en la TABLA MATERIALES DE FORMULARIO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</si>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</sst>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6" borderId="5" xfId="0" applyFont="1" applyFill="1" applyBorder="1" applyAlignment="1">
      <alignment horizontal="left" vertical="center"/>
    </xf>
    <xf numFmtId="164" fontId="4" fillId="5" borderId="6" xfId="0" applyNumberFormat="1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 vertical="center"/>
    </xf>
    <xf numFmtId="164" fontId="4" fillId="5" borderId="8" xfId="0" applyNumberFormat="1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left" vertical="center"/>
    </xf>
    <xf numFmtId="164" fontId="4" fillId="5" borderId="10" xfId="0" applyNumberFormat="1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Porcentaje" xfId="1" builtinId="5"/>
  </cellStyles>
  <dxfs count="65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0.313</c:v>
                </c:pt>
                <c:pt idx="1">
                  <c:v>0.58899999999999997</c:v>
                </c:pt>
                <c:pt idx="2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0.313</c:v>
                </c:pt>
                <c:pt idx="1">
                  <c:v>0.58899999999999997</c:v>
                </c:pt>
                <c:pt idx="2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136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7126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91300" cy="494347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$1,79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52%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$2,72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OVALADA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$0,31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$0,59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$0,89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$0,93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4.60331111111" createdVersion="8" refreshedVersion="8" minRefreshableVersion="3" recordCount="45" xr:uid="{FA38EBDB-6F6B-40E0-A39D-1DA259BE4882}">
  <cacheSource type="worksheet">
    <worksheetSource name="FactTable"/>
  </cacheSource>
  <cacheFields count="22">
    <cacheField name="nombreProducto" numFmtId="0">
      <sharedItems count="33">
        <s v="COLLAR DE PERLAS"/>
        <s v="PULSERA OVALADA"/>
        <s v="PULSERA MINIMALISTA"/>
        <s v="PULSERA DE HOMBRE"/>
        <s v="ZARCILLOS SOLITARIO"/>
        <s v="PULSERA ROMI"/>
        <s v="PULSERA DE PERLAS BLANCAS" u="1"/>
        <s v="PRODUCTO DESDE CERO" u="1"/>
        <s v="PULSERA AMARILLA" u="1"/>
        <s v="NUEVO PRODUCTO" u="1"/>
        <s v="MAT 1" u="1"/>
        <s v="NUEVO" u="1"/>
        <s v="COLLAR VERDE" u="1"/>
        <s v="COLLAR VERDE LIMON" u="1"/>
        <s v="PULSERA DE PERLAS ROJAS" u="1"/>
        <s v="COLLAR CORTO" u="1"/>
        <s v="ZARCILLO SIMPLE" u="1"/>
        <s v="PULSERA DE ORO" u="1"/>
        <s v="PULSERA DE DIAMANTES" u="1"/>
        <s v="PULSERA DE DIAMANTES 2" u="1"/>
        <s v="PULSERA CELIA" u="1"/>
        <s v="PULSER GUACAMAYA" u="1"/>
        <s v="PULSER GUACAMAYA 2" u="1"/>
        <s v="PULSER GUACAMAYA 3" u="1"/>
        <s v="PULSER GUACAMAYA 4" u="1"/>
        <s v="NUEVO COLLAR" u="1"/>
        <s v="ZARCILLOS 1" u="1"/>
        <s v="ZARCILLOS SOLITARIO DOBLE" u="1"/>
        <s v="OTRO ZARCILLO" u="1"/>
        <s v="Pulsera guacamaya 5" u="1"/>
        <s v="OTRA PULSERA" u="1"/>
        <s v="fgfdg" u="1"/>
        <s v="Zarcillo solitario" u="1"/>
      </sharedItems>
    </cacheField>
    <cacheField name="categoriaProductos" numFmtId="0">
      <sharedItems count="4">
        <s v="COLLARES"/>
        <s v="PULSERA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tring="0" containsBlank="1" containsNumber="1" minValue="0" maxValue="5.2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75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x v="0"/>
    <s v="BROCHE"/>
    <m/>
    <m/>
    <m/>
    <m/>
    <n v="1.25"/>
    <m/>
    <m/>
    <m/>
    <m/>
    <m/>
    <n v="0"/>
    <m/>
    <m/>
    <m/>
    <m/>
    <m/>
    <n v="0"/>
    <m/>
  </r>
  <r>
    <x v="0"/>
    <x v="0"/>
    <x v="0"/>
    <s v="ALAMBRE"/>
    <m/>
    <m/>
    <m/>
    <m/>
    <n v="2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5"/>
    <m/>
    <m/>
    <m/>
    <m/>
    <m/>
    <n v="0"/>
    <m/>
  </r>
  <r>
    <x v="0"/>
    <x v="0"/>
    <x v="1"/>
    <m/>
    <m/>
    <m/>
    <m/>
    <m/>
    <n v="0"/>
    <s v="GASOLINA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37"/>
    <m/>
  </r>
  <r>
    <x v="0"/>
    <x v="0"/>
    <x v="3"/>
    <m/>
    <m/>
    <m/>
    <m/>
    <m/>
    <n v="0"/>
    <m/>
    <m/>
    <m/>
    <m/>
    <m/>
    <n v="0"/>
    <m/>
    <m/>
    <m/>
    <m/>
    <m/>
    <n v="0"/>
    <n v="0.6"/>
  </r>
  <r>
    <x v="1"/>
    <x v="1"/>
    <x v="0"/>
    <s v="PIEDRAS CUARZO"/>
    <m/>
    <m/>
    <m/>
    <m/>
    <n v="0.2"/>
    <m/>
    <m/>
    <m/>
    <m/>
    <m/>
    <n v="0"/>
    <m/>
    <m/>
    <m/>
    <m/>
    <m/>
    <n v="0"/>
    <m/>
  </r>
  <r>
    <x v="1"/>
    <x v="1"/>
    <x v="0"/>
    <s v="ALAMBRE"/>
    <m/>
    <m/>
    <m/>
    <m/>
    <n v="0.113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5"/>
    <m/>
    <m/>
    <m/>
    <m/>
    <m/>
    <n v="0"/>
    <m/>
  </r>
  <r>
    <x v="1"/>
    <x v="1"/>
    <x v="1"/>
    <m/>
    <m/>
    <m/>
    <m/>
    <m/>
    <n v="0"/>
    <s v="GASOLINA"/>
    <m/>
    <m/>
    <m/>
    <m/>
    <n v="8.8999999999999996E-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89"/>
    <m/>
  </r>
  <r>
    <x v="1"/>
    <x v="1"/>
    <x v="3"/>
    <m/>
    <m/>
    <m/>
    <m/>
    <m/>
    <n v="0"/>
    <m/>
    <m/>
    <m/>
    <m/>
    <m/>
    <n v="0"/>
    <m/>
    <m/>
    <m/>
    <m/>
    <m/>
    <n v="0"/>
    <n v="0.52"/>
  </r>
  <r>
    <x v="2"/>
    <x v="1"/>
    <x v="0"/>
    <s v="ALAMBRE"/>
    <m/>
    <m/>
    <m/>
    <m/>
    <n v="0.113"/>
    <m/>
    <m/>
    <m/>
    <m/>
    <m/>
    <n v="0"/>
    <m/>
    <m/>
    <m/>
    <m/>
    <m/>
    <n v="0"/>
    <m/>
  </r>
  <r>
    <x v="2"/>
    <x v="1"/>
    <x v="0"/>
    <s v="TARJETA"/>
    <m/>
    <m/>
    <m/>
    <m/>
    <n v="0.23"/>
    <m/>
    <m/>
    <m/>
    <m/>
    <m/>
    <n v="0"/>
    <m/>
    <m/>
    <m/>
    <m/>
    <m/>
    <n v="0"/>
    <m/>
  </r>
  <r>
    <x v="2"/>
    <x v="1"/>
    <x v="0"/>
    <s v="BROCHE"/>
    <m/>
    <m/>
    <m/>
    <m/>
    <n v="0.3"/>
    <m/>
    <m/>
    <m/>
    <m/>
    <m/>
    <n v="0"/>
    <m/>
    <m/>
    <m/>
    <m/>
    <m/>
    <n v="0"/>
    <m/>
  </r>
  <r>
    <x v="2"/>
    <x v="1"/>
    <x v="1"/>
    <m/>
    <m/>
    <m/>
    <m/>
    <m/>
    <n v="0"/>
    <s v="INTERNET"/>
    <m/>
    <m/>
    <m/>
    <m/>
    <n v="5.25"/>
    <m/>
    <m/>
    <m/>
    <m/>
    <m/>
    <n v="0"/>
    <m/>
  </r>
  <r>
    <x v="2"/>
    <x v="1"/>
    <x v="1"/>
    <m/>
    <m/>
    <m/>
    <m/>
    <m/>
    <n v="0"/>
    <s v="TELÉFONO"/>
    <m/>
    <m/>
    <m/>
    <m/>
    <n v="2E-3"/>
    <m/>
    <m/>
    <m/>
    <m/>
    <m/>
    <n v="0"/>
    <m/>
  </r>
  <r>
    <x v="2"/>
    <x v="1"/>
    <x v="1"/>
    <m/>
    <m/>
    <m/>
    <m/>
    <m/>
    <n v="0"/>
    <s v="GASOLINA"/>
    <m/>
    <m/>
    <m/>
    <m/>
    <m/>
    <m/>
    <m/>
    <m/>
    <m/>
    <m/>
    <n v="0"/>
    <m/>
  </r>
  <r>
    <x v="2"/>
    <x v="1"/>
    <x v="2"/>
    <m/>
    <m/>
    <m/>
    <m/>
    <m/>
    <n v="0"/>
    <m/>
    <m/>
    <m/>
    <m/>
    <m/>
    <n v="0"/>
    <s v="ROMINA"/>
    <m/>
    <m/>
    <m/>
    <m/>
    <n v="75"/>
    <m/>
  </r>
  <r>
    <x v="2"/>
    <x v="1"/>
    <x v="2"/>
    <m/>
    <m/>
    <m/>
    <m/>
    <m/>
    <n v="0"/>
    <m/>
    <m/>
    <m/>
    <m/>
    <m/>
    <n v="0"/>
    <s v="PETRA"/>
    <m/>
    <m/>
    <m/>
    <m/>
    <n v="5.7140000000000004"/>
    <m/>
  </r>
  <r>
    <x v="2"/>
    <x v="1"/>
    <x v="3"/>
    <m/>
    <m/>
    <m/>
    <m/>
    <m/>
    <n v="0"/>
    <m/>
    <m/>
    <m/>
    <m/>
    <m/>
    <n v="0"/>
    <m/>
    <m/>
    <m/>
    <m/>
    <m/>
    <n v="0"/>
    <n v="0.51"/>
  </r>
  <r>
    <x v="3"/>
    <x v="1"/>
    <x v="0"/>
    <s v="ALAMBRE"/>
    <m/>
    <m/>
    <m/>
    <m/>
    <n v="0.13200000000000001"/>
    <m/>
    <m/>
    <m/>
    <m/>
    <m/>
    <n v="0"/>
    <m/>
    <m/>
    <m/>
    <m/>
    <m/>
    <n v="0"/>
    <m/>
  </r>
  <r>
    <x v="3"/>
    <x v="1"/>
    <x v="0"/>
    <s v="BOLSA"/>
    <m/>
    <m/>
    <m/>
    <m/>
    <n v="6.7000000000000004E-2"/>
    <m/>
    <m/>
    <m/>
    <m/>
    <m/>
    <n v="0"/>
    <m/>
    <m/>
    <m/>
    <m/>
    <m/>
    <n v="0"/>
    <m/>
  </r>
  <r>
    <x v="3"/>
    <x v="1"/>
    <x v="0"/>
    <s v="TARJETA"/>
    <m/>
    <m/>
    <m/>
    <m/>
    <n v="0.08"/>
    <m/>
    <m/>
    <m/>
    <m/>
    <m/>
    <n v="0"/>
    <m/>
    <m/>
    <m/>
    <m/>
    <m/>
    <n v="0"/>
    <m/>
  </r>
  <r>
    <x v="3"/>
    <x v="1"/>
    <x v="1"/>
    <m/>
    <m/>
    <m/>
    <m/>
    <m/>
    <n v="0"/>
    <s v="TELÉFONO"/>
    <m/>
    <m/>
    <m/>
    <m/>
    <n v="2.1999999999999999E-2"/>
    <m/>
    <m/>
    <m/>
    <m/>
    <m/>
    <n v="0"/>
    <m/>
  </r>
  <r>
    <x v="3"/>
    <x v="1"/>
    <x v="2"/>
    <m/>
    <m/>
    <m/>
    <m/>
    <m/>
    <n v="0"/>
    <m/>
    <m/>
    <m/>
    <m/>
    <m/>
    <n v="0"/>
    <s v="ROMINA"/>
    <m/>
    <m/>
    <m/>
    <m/>
    <n v="2.5"/>
    <m/>
  </r>
  <r>
    <x v="3"/>
    <x v="1"/>
    <x v="3"/>
    <m/>
    <m/>
    <m/>
    <m/>
    <m/>
    <n v="0"/>
    <m/>
    <m/>
    <m/>
    <m/>
    <m/>
    <n v="0"/>
    <m/>
    <m/>
    <m/>
    <m/>
    <m/>
    <n v="0"/>
    <n v="0.3"/>
  </r>
  <r>
    <x v="4"/>
    <x v="2"/>
    <x v="0"/>
    <s v="ALAMBRE"/>
    <m/>
    <m/>
    <m/>
    <m/>
    <n v="0.04"/>
    <m/>
    <m/>
    <m/>
    <m/>
    <m/>
    <n v="0"/>
    <m/>
    <m/>
    <m/>
    <m/>
    <m/>
    <n v="0"/>
    <m/>
  </r>
  <r>
    <x v="4"/>
    <x v="2"/>
    <x v="0"/>
    <s v="PERLAS"/>
    <m/>
    <m/>
    <m/>
    <m/>
    <n v="0.2"/>
    <m/>
    <m/>
    <m/>
    <m/>
    <m/>
    <n v="0"/>
    <m/>
    <m/>
    <m/>
    <m/>
    <m/>
    <n v="0"/>
    <m/>
  </r>
  <r>
    <x v="4"/>
    <x v="2"/>
    <x v="0"/>
    <s v="BOLSA"/>
    <m/>
    <m/>
    <m/>
    <m/>
    <n v="0.01"/>
    <m/>
    <m/>
    <m/>
    <m/>
    <m/>
    <n v="0"/>
    <m/>
    <m/>
    <m/>
    <m/>
    <m/>
    <n v="0"/>
    <m/>
  </r>
  <r>
    <x v="4"/>
    <x v="2"/>
    <x v="1"/>
    <m/>
    <m/>
    <m/>
    <m/>
    <m/>
    <n v="0"/>
    <s v="INTERNET"/>
    <m/>
    <m/>
    <m/>
    <m/>
    <n v="0.03"/>
    <m/>
    <m/>
    <m/>
    <m/>
    <m/>
    <n v="0"/>
    <m/>
  </r>
  <r>
    <x v="4"/>
    <x v="2"/>
    <x v="1"/>
    <m/>
    <m/>
    <m/>
    <m/>
    <m/>
    <n v="0"/>
    <s v="TELÉFONO"/>
    <m/>
    <m/>
    <m/>
    <m/>
    <n v="0.08"/>
    <m/>
    <m/>
    <m/>
    <m/>
    <m/>
    <n v="0"/>
    <m/>
  </r>
  <r>
    <x v="4"/>
    <x v="2"/>
    <x v="1"/>
    <m/>
    <m/>
    <m/>
    <m/>
    <m/>
    <n v="0"/>
    <s v="GASOLINA"/>
    <m/>
    <m/>
    <m/>
    <m/>
    <n v="8.8999999999999996E-2"/>
    <m/>
    <m/>
    <m/>
    <m/>
    <m/>
    <n v="0"/>
    <m/>
  </r>
  <r>
    <x v="4"/>
    <x v="2"/>
    <x v="2"/>
    <m/>
    <m/>
    <m/>
    <m/>
    <m/>
    <n v="0"/>
    <m/>
    <m/>
    <m/>
    <m/>
    <m/>
    <n v="0"/>
    <s v="ROMINA"/>
    <m/>
    <m/>
    <m/>
    <m/>
    <n v="0.37"/>
    <m/>
  </r>
  <r>
    <x v="4"/>
    <x v="2"/>
    <x v="3"/>
    <m/>
    <m/>
    <m/>
    <m/>
    <m/>
    <n v="0"/>
    <m/>
    <m/>
    <m/>
    <m/>
    <m/>
    <n v="0"/>
    <m/>
    <m/>
    <m/>
    <m/>
    <m/>
    <n v="0"/>
    <n v="0.3"/>
  </r>
  <r>
    <x v="5"/>
    <x v="1"/>
    <x v="0"/>
    <s v="ALAMBRE"/>
    <m/>
    <m/>
    <m/>
    <m/>
    <n v="0.111"/>
    <m/>
    <m/>
    <m/>
    <m/>
    <m/>
    <n v="0"/>
    <m/>
    <m/>
    <m/>
    <m/>
    <m/>
    <n v="0"/>
    <m/>
  </r>
  <r>
    <x v="5"/>
    <x v="1"/>
    <x v="0"/>
    <s v="CRISTALES"/>
    <m/>
    <m/>
    <m/>
    <m/>
    <n v="0.157"/>
    <m/>
    <m/>
    <m/>
    <m/>
    <m/>
    <n v="0"/>
    <m/>
    <m/>
    <m/>
    <m/>
    <m/>
    <n v="0"/>
    <m/>
  </r>
  <r>
    <x v="5"/>
    <x v="1"/>
    <x v="0"/>
    <s v="BOLSA"/>
    <m/>
    <m/>
    <m/>
    <m/>
    <n v="1.4999999999999999E-2"/>
    <m/>
    <m/>
    <m/>
    <m/>
    <m/>
    <n v="0"/>
    <m/>
    <m/>
    <m/>
    <m/>
    <m/>
    <n v="0"/>
    <m/>
  </r>
  <r>
    <x v="5"/>
    <x v="1"/>
    <x v="0"/>
    <s v="TARJETA"/>
    <m/>
    <m/>
    <m/>
    <m/>
    <n v="0.06"/>
    <m/>
    <m/>
    <m/>
    <m/>
    <m/>
    <n v="0"/>
    <m/>
    <m/>
    <m/>
    <m/>
    <m/>
    <n v="0"/>
    <m/>
  </r>
  <r>
    <x v="5"/>
    <x v="1"/>
    <x v="1"/>
    <m/>
    <m/>
    <m/>
    <m/>
    <m/>
    <n v="0"/>
    <s v="CONTADOR"/>
    <m/>
    <m/>
    <m/>
    <m/>
    <n v="0.501"/>
    <m/>
    <m/>
    <m/>
    <m/>
    <m/>
    <n v="0"/>
    <m/>
  </r>
  <r>
    <x v="5"/>
    <x v="1"/>
    <x v="1"/>
    <m/>
    <m/>
    <m/>
    <m/>
    <m/>
    <n v="0"/>
    <s v="GASOLINA"/>
    <m/>
    <m/>
    <m/>
    <m/>
    <n v="8.8999999999999996E-2"/>
    <m/>
    <m/>
    <m/>
    <m/>
    <m/>
    <n v="0"/>
    <m/>
  </r>
  <r>
    <x v="5"/>
    <x v="1"/>
    <x v="1"/>
    <m/>
    <m/>
    <m/>
    <m/>
    <m/>
    <n v="0"/>
    <s v="INTERNET"/>
    <m/>
    <m/>
    <m/>
    <m/>
    <n v="1.7000000000000001E-2"/>
    <m/>
    <m/>
    <m/>
    <m/>
    <m/>
    <n v="0"/>
    <m/>
  </r>
  <r>
    <x v="5"/>
    <x v="1"/>
    <x v="1"/>
    <m/>
    <m/>
    <m/>
    <m/>
    <m/>
    <n v="0"/>
    <s v="TELÉFONO"/>
    <m/>
    <m/>
    <m/>
    <m/>
    <n v="5.0000000000000001E-3"/>
    <m/>
    <m/>
    <m/>
    <m/>
    <m/>
    <n v="0"/>
    <m/>
  </r>
  <r>
    <x v="5"/>
    <x v="1"/>
    <x v="2"/>
    <m/>
    <m/>
    <m/>
    <m/>
    <m/>
    <n v="0"/>
    <m/>
    <m/>
    <m/>
    <m/>
    <m/>
    <n v="0"/>
    <s v="ROMINA"/>
    <m/>
    <m/>
    <m/>
    <m/>
    <n v="0.875"/>
    <m/>
  </r>
  <r>
    <x v="5"/>
    <x v="1"/>
    <x v="3"/>
    <m/>
    <m/>
    <m/>
    <m/>
    <m/>
    <n v="0"/>
    <m/>
    <m/>
    <m/>
    <m/>
    <m/>
    <n v="0"/>
    <m/>
    <m/>
    <m/>
    <m/>
    <m/>
    <n v="0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4">
        <item h="1" m="1" x="6"/>
        <item h="1" m="1" x="14"/>
        <item h="1" m="1" x="15"/>
        <item h="1" m="1" x="26"/>
        <item h="1" x="4"/>
        <item h="1" m="1" x="27"/>
        <item h="1" m="1" x="31"/>
        <item h="1" m="1" x="32"/>
        <item h="1" m="1" x="16"/>
        <item h="1" m="1" x="8"/>
        <item h="1" m="1" x="17"/>
        <item h="1" m="1" x="28"/>
        <item h="1" m="1" x="18"/>
        <item h="1" m="1" x="19"/>
        <item h="1" m="1" x="20"/>
        <item h="1" x="2"/>
        <item h="1" m="1" x="21"/>
        <item h="1" m="1" x="22"/>
        <item h="1" m="1" x="23"/>
        <item h="1" m="1" x="24"/>
        <item h="1" m="1" x="29"/>
        <item h="1" m="1" x="30"/>
        <item h="1" m="1" x="12"/>
        <item h="1" m="1" x="25"/>
        <item h="1" m="1" x="13"/>
        <item h="1" m="1" x="11"/>
        <item h="1" x="0"/>
        <item h="1" m="1" x="9"/>
        <item h="1" m="1" x="10"/>
        <item x="1"/>
        <item h="1" m="1" x="7"/>
        <item h="1" x="3"/>
        <item h="1" x="5"/>
        <item t="default"/>
      </items>
    </pivotField>
    <pivotField showAll="0">
      <items count="5">
        <item h="1" x="0"/>
        <item h="1" m="1" x="3"/>
        <item x="1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9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3">
        <i x="3"/>
        <i x="2"/>
        <i x="1" s="1"/>
        <i x="5"/>
        <i x="15" nd="1"/>
        <i x="0" nd="1"/>
        <i x="12" nd="1"/>
        <i x="13" nd="1"/>
        <i x="31" nd="1"/>
        <i x="10" nd="1"/>
        <i x="11" nd="1"/>
        <i x="25" nd="1"/>
        <i x="9" nd="1"/>
        <i x="30" nd="1"/>
        <i x="28" nd="1"/>
        <i x="7" nd="1"/>
        <i x="21" nd="1"/>
        <i x="22" nd="1"/>
        <i x="23" nd="1"/>
        <i x="24" nd="1"/>
        <i x="8" nd="1"/>
        <i x="20" nd="1"/>
        <i x="18" nd="1"/>
        <i x="19" nd="1"/>
        <i x="17" nd="1"/>
        <i x="6" nd="1"/>
        <i x="14" nd="1"/>
        <i x="29" nd="1"/>
        <i x="16" nd="1"/>
        <i x="32" nd="1"/>
        <i x="26" nd="1"/>
        <i x="4" nd="1"/>
        <i x="2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1" s="1"/>
        <i x="0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64" totalsRowDxfId="62" tableBorderDxfId="63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61"/>
    <tableColumn id="2" xr3:uid="{67F9B078-7971-4210-877B-9C9A2263ED2A}" name="COSTO($)" totalsRowFunction="sum" totalsRow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9" dataDxfId="58" totalsRowDxfId="57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6" totalsRowDxfId="55"/>
    <tableColumn id="2" xr3:uid="{FED94907-3424-45B2-861F-853E156B063B}" name="COSTO($)" totalsRowFunction="sum" dataDxfId="54" totalsRow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2" dataDxfId="51" totalsRowDxfId="50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9" totalsRowDxfId="48"/>
    <tableColumn id="2" xr3:uid="{D1EF3DFB-AA71-407B-AEF5-6C727B011AC1}" name="COSTO($)" totalsRowFunction="sum" dataDxfId="47" totalsRow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46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5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4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3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38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3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3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11" totalsRowShown="0" headerRowDxfId="29" dataDxfId="28">
  <tableColumns count="7">
    <tableColumn id="1" xr3:uid="{1B2EB763-6053-4247-A4D7-F9836FFA73EA}" name="MATERIAL" dataDxfId="27"/>
    <tableColumn id="2" xr3:uid="{3482D2CF-B368-4191-91D2-676ECD1A621F}" name="TIPO DE MEDIDA" dataDxfId="26"/>
    <tableColumn id="3" xr3:uid="{C67EF1B5-A9B0-4212-A109-5F8EEDE51D15}" name="MEDIDA DE COSTO" dataDxfId="25"/>
    <tableColumn id="4" xr3:uid="{44E19CED-6E78-4420-9CAE-89CDDDAE05BF}" name="CANTIDAD COMPRADA" dataDxfId="24"/>
    <tableColumn id="5" xr3:uid="{EE4D61C4-3D8B-494D-9A5E-C2E4D627CCCF}" name="MEDIDA DE USO" dataDxfId="23"/>
    <tableColumn id="6" xr3:uid="{312A5358-58F4-4DBF-9258-110FFC9621BF}" name="CANTIDAD DE USO" dataDxfId="22"/>
    <tableColumn id="7" xr3:uid="{BD82A5E5-D017-492B-8AD2-228E552C3F2D}" name="PRECIO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0" dataDxfId="19">
  <tableColumns count="7">
    <tableColumn id="1" xr3:uid="{B4545FC2-4B1B-41F4-BD0A-36DA34F4E563}" name="SERVICIO" dataDxfId="18"/>
    <tableColumn id="5" xr3:uid="{848885E0-3C0E-4EFE-885A-9E6B3332F0D5}" name="TIPO DE MEDIDA" dataDxfId="17"/>
    <tableColumn id="6" xr3:uid="{1AF22CFC-1EB5-4ABF-842F-FFAEF84785D8}" name="MEDIDA DE COSTO" dataDxfId="16"/>
    <tableColumn id="9" xr3:uid="{6F716731-9558-4D76-A50C-AB4BCE128D3A}" name="CANTIDAD COMPRADA" dataDxfId="15"/>
    <tableColumn id="8" xr3:uid="{F542FE7D-24FB-4ED9-8E4D-EB016D364745}" name="MEDIDA DE USO" dataDxfId="14"/>
    <tableColumn id="7" xr3:uid="{4298E081-E2D7-4CF5-87CE-F7FB1C504E6F}" name="CANTIDAD DE USO" dataDxfId="13"/>
    <tableColumn id="2" xr3:uid="{EF5740F7-4F1C-46C8-8F26-5581F288F70A}" name="PRECIO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1" dataDxfId="10">
  <tableColumns count="7">
    <tableColumn id="2" xr3:uid="{CF8293A7-FCFB-462B-87C6-7ADECB3E3EC8}" name="MANO DE OBRA" dataDxfId="9"/>
    <tableColumn id="6" xr3:uid="{0995AFE9-7562-4B65-BFE2-752911DBADA5}" name="TIPO DE MEDIDA" dataDxfId="8"/>
    <tableColumn id="3" xr3:uid="{FDF6BEDD-F402-4A7C-8BF8-8F439C83287F}" name="MEDIDA DE COSTO" dataDxfId="7"/>
    <tableColumn id="4" xr3:uid="{26F46A0E-7E73-4C52-BE29-04F5CD56B892}" name="CANTIDAD COMPRADA" dataDxfId="6"/>
    <tableColumn id="1" xr3:uid="{61170B82-50AE-4ED2-BB24-A1340F4D822E}" name="MEDIDA DE USO" dataDxfId="5"/>
    <tableColumn id="5" xr3:uid="{E514F6DC-DAE1-47A7-9548-65CD146A0B26}" name="CANTIDAD DE USO" dataDxfId="4"/>
    <tableColumn id="7" xr3:uid="{F6BBE82E-1C1A-4488-A92D-8E6BE43B76F9}" name="PRECIO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4" totalsRowShown="0" headerRowDxfId="2" dataDxfId="1">
  <autoFilter ref="A1:A4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4" totalsRowShown="0">
  <autoFilter ref="A1:C4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33"/>
  <sheetViews>
    <sheetView showGridLines="0" showRowColHeaders="0" tabSelected="1" zoomScaleNormal="100" workbookViewId="0">
      <selection activeCell="P15" sqref="P15"/>
    </sheetView>
  </sheetViews>
  <sheetFormatPr baseColWidth="10" defaultRowHeight="14.4" x14ac:dyDescent="0.3"/>
  <cols>
    <col min="1" max="1" width="3.21875" customWidth="1"/>
    <col min="2" max="2" width="39.88671875" customWidth="1"/>
    <col min="3" max="3" width="4.33203125" customWidth="1"/>
    <col min="4" max="4" width="22.77734375" customWidth="1"/>
    <col min="5" max="5" width="17.77734375" customWidth="1"/>
    <col min="6" max="6" width="3.33203125" customWidth="1"/>
    <col min="7" max="7" width="16.88671875" customWidth="1"/>
    <col min="8" max="8" width="16.2187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21875" bestFit="1" customWidth="1"/>
  </cols>
  <sheetData>
    <row r="1" spans="2:13" ht="40.799999999999997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61</v>
      </c>
      <c r="C4" s="12"/>
      <c r="D4" s="25" t="s">
        <v>48</v>
      </c>
      <c r="E4" s="22">
        <v>0.2</v>
      </c>
      <c r="G4" s="25" t="s">
        <v>62</v>
      </c>
      <c r="H4" s="22">
        <v>0.5</v>
      </c>
      <c r="J4" s="25" t="s">
        <v>58</v>
      </c>
      <c r="K4" s="22">
        <v>0.89</v>
      </c>
      <c r="M4" s="17">
        <f>+TablaF_Materiales[[#Totals],[COSTO($)]]</f>
        <v>0.313</v>
      </c>
    </row>
    <row r="5" spans="2:13" ht="17.399999999999999" x14ac:dyDescent="0.45">
      <c r="D5" s="25" t="s">
        <v>52</v>
      </c>
      <c r="E5" s="22">
        <v>0.113</v>
      </c>
      <c r="G5" s="25" t="s">
        <v>57</v>
      </c>
      <c r="H5" s="22">
        <v>8.8999999999999996E-2</v>
      </c>
      <c r="J5" s="25"/>
      <c r="K5" s="22"/>
    </row>
    <row r="6" spans="2:13" ht="25.2" customHeight="1" thickBot="1" x14ac:dyDescent="0.5">
      <c r="B6" s="10" t="s">
        <v>36</v>
      </c>
      <c r="D6" s="25"/>
      <c r="E6" s="22"/>
      <c r="G6" s="25"/>
      <c r="H6" s="22"/>
      <c r="J6" s="25"/>
      <c r="K6" s="22"/>
      <c r="M6" s="15" t="s">
        <v>33</v>
      </c>
    </row>
    <row r="7" spans="2:13" ht="19.8" customHeight="1" thickBot="1" x14ac:dyDescent="0.5">
      <c r="B7" s="13" t="s">
        <v>59</v>
      </c>
      <c r="D7" s="25"/>
      <c r="E7" s="22"/>
      <c r="G7" s="25"/>
      <c r="H7" s="22"/>
      <c r="J7" s="25"/>
      <c r="K7" s="22"/>
      <c r="M7" s="17">
        <f>+TablaF_Servicios[[#Totals],[COSTO($)]]</f>
        <v>0.58899999999999997</v>
      </c>
    </row>
    <row r="8" spans="2:13" ht="17.399999999999999" x14ac:dyDescent="0.45"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0.52</v>
      </c>
      <c r="E10" s="22"/>
      <c r="G10" s="21"/>
      <c r="H10" s="22"/>
      <c r="J10" s="21"/>
      <c r="K10" s="22"/>
      <c r="M10" s="17">
        <f>+TablaF_ManoDeObra[[#Totals],[COSTO($)]]</f>
        <v>0.89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41</v>
      </c>
    </row>
    <row r="13" spans="2:13" ht="19.2" thickBot="1" x14ac:dyDescent="0.5">
      <c r="B13" s="18" t="s">
        <v>61</v>
      </c>
      <c r="E13" s="22"/>
      <c r="G13" s="21"/>
      <c r="H13" s="22"/>
      <c r="J13" s="21"/>
      <c r="K13" s="22"/>
      <c r="M13" s="17">
        <f>+M4+M7+M10</f>
        <v>1.7919999999999998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42</v>
      </c>
    </row>
    <row r="16" spans="2:13" ht="29.4" customHeight="1" thickBot="1" x14ac:dyDescent="0.5">
      <c r="D16" s="21" t="s">
        <v>35</v>
      </c>
      <c r="E16" s="22">
        <f>SUBTOTAL(109,TablaF_Materiales[COSTO($)])</f>
        <v>0.313</v>
      </c>
      <c r="G16" s="23" t="s">
        <v>35</v>
      </c>
      <c r="H16" s="24">
        <f>SUBTOTAL(109,TablaF_Servicios[COSTO($)])</f>
        <v>0.58899999999999997</v>
      </c>
      <c r="J16" s="21" t="s">
        <v>35</v>
      </c>
      <c r="K16" s="22">
        <f>SUBTOTAL(109,TablaF_ManoDeObra[COSTO($)])</f>
        <v>0.89</v>
      </c>
      <c r="M16" s="17">
        <f>M13*(1+B10)</f>
        <v>2.7238399999999996</v>
      </c>
    </row>
    <row r="17" spans="2:11" ht="10.199999999999999" customHeight="1" x14ac:dyDescent="0.3"/>
    <row r="26" spans="2:11" x14ac:dyDescent="0.3">
      <c r="B26" s="27"/>
      <c r="D26" s="7"/>
    </row>
    <row r="27" spans="2:11" x14ac:dyDescent="0.3">
      <c r="B27" s="27"/>
      <c r="D27" s="7"/>
    </row>
    <row r="28" spans="2:11" x14ac:dyDescent="0.3">
      <c r="B28" s="27"/>
      <c r="D28" s="7"/>
    </row>
    <row r="29" spans="2:11" x14ac:dyDescent="0.3">
      <c r="B29" s="27"/>
      <c r="D29" s="7"/>
    </row>
    <row r="30" spans="2:11" ht="15" thickBot="1" x14ac:dyDescent="0.35"/>
    <row r="31" spans="2:11" ht="18.600000000000001" x14ac:dyDescent="0.3">
      <c r="J31" s="28" t="s">
        <v>31</v>
      </c>
      <c r="K31" s="29">
        <f>$E$16</f>
        <v>0.313</v>
      </c>
    </row>
    <row r="32" spans="2:11" ht="18.600000000000001" x14ac:dyDescent="0.3">
      <c r="J32" s="30" t="s">
        <v>33</v>
      </c>
      <c r="K32" s="31">
        <f>$H$16</f>
        <v>0.58899999999999997</v>
      </c>
    </row>
    <row r="33" spans="10:11" ht="19.2" thickBot="1" x14ac:dyDescent="0.35">
      <c r="J33" s="32" t="s">
        <v>34</v>
      </c>
      <c r="K33" s="33">
        <f>$K$16</f>
        <v>0.89</v>
      </c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list" allowBlank="1" showInputMessage="1" showErrorMessage="1" sqref="J12 J13 J14 J4 J5 J6 J7 J8 J9 J10 J11 J15" xr:uid="{6BFFB66B-5CD5-4BFF-915D-E44629AA4C58}">
      <formula1>"PETRA,ROMINA"</formula1>
    </dataValidation>
    <dataValidation type="list" allowBlank="1" showInputMessage="1" showErrorMessage="1" sqref="D12 D13 D14 D4 D5 D6 D7 D8 D9 D10 D11 D15" xr:uid="{E238C658-33CE-4049-AA95-0F8D79C7DB36}">
      <formula1>"ALAMBRE,BOLSA,BROCHE,CRISTALES,CUERO,PERLAS,PIEDRAS CUARZO,PIEDRAS ROJAS,TAPAS,TARJETA"</formula1>
    </dataValidation>
    <dataValidation type="list" allowBlank="1" showInputMessage="1" showErrorMessage="1" sqref="G12 G13 G14 G4 G5 G6 G7 G8 G9 G10 G11 G15" xr:uid="{B282A496-C1C8-48FB-A54C-A2D4C00BAF89}">
      <formula1>"CONTADOR,GASOLINA,INTERNET,TELÉFONO"</formula1>
    </dataValidation>
    <dataValidation type="list" allowBlank="1" showInputMessage="1" showErrorMessage="1" sqref="B13" xr:uid="{7C8490A9-83A8-4598-A14F-2211E21EE3E2}">
      <formula1>"COLLAR DE PERLAS,PULSERA DE HOMBRE,PULSERA MINIMALISTA,PULSERA OVALADA,PULSERA ROMI,ZARCILLOS SOLITARIO"</formula1>
    </dataValidation>
    <dataValidation type="list" allowBlank="1" showInputMessage="1" showErrorMessage="1" sqref="B7" xr:uid="{F8938373-3504-4EEB-889F-FDFF3611B526}">
      <formula1>"COLLARES,PULSERAS,ZARCILLOS"</formula1>
    </dataValidation>
  </dataValidations>
  <hyperlinks>
    <hyperlink ref="D4" display="PIEDRAS CUARZO" xr:uid="{ACE0BB60-3BDA-41FD-88C1-34ADE05C4A0F}"/>
    <hyperlink ref="D5" display="ALAMBRE" xr:uid="{E75FC34B-A39C-4465-898E-E7C164F96BCF}"/>
    <hyperlink ref="G4" display="INTERNET" xr:uid="{06CB8A20-7E69-4094-AE47-64726598EBA4}"/>
    <hyperlink ref="G5" display="GASOLINA" xr:uid="{ABCD6D4E-A1D6-42B5-8A71-64E14A02C880}"/>
    <hyperlink ref="J4" display="ROMINA" xr:uid="{3EE39FB5-0225-4C42-BAD3-5F526AA0F034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2187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46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21875" customWidth="1"/>
    <col min="4" max="4" width="22.21875" customWidth="1"/>
    <col min="5" max="5" width="21.5546875" customWidth="1"/>
    <col min="6" max="6" width="23.6640625" customWidth="1"/>
    <col min="7" max="7" width="23.2187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7773437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96</v>
      </c>
      <c r="G1" s="1" t="s">
        <v>5</v>
      </c>
      <c r="H1" t="s">
        <v>93</v>
      </c>
      <c r="I1" s="2" t="s">
        <v>8</v>
      </c>
      <c r="J1" s="1" t="s">
        <v>4</v>
      </c>
      <c r="K1" s="1" t="s">
        <v>6</v>
      </c>
      <c r="L1" s="1" t="s">
        <v>97</v>
      </c>
      <c r="M1" s="1" t="s">
        <v>7</v>
      </c>
      <c r="N1" t="s">
        <v>94</v>
      </c>
      <c r="O1" t="s">
        <v>13</v>
      </c>
      <c r="P1" s="1" t="s">
        <v>9</v>
      </c>
      <c r="Q1" s="1" t="s">
        <v>10</v>
      </c>
      <c r="R1" s="1" t="s">
        <v>98</v>
      </c>
      <c r="S1" s="1" t="s">
        <v>11</v>
      </c>
      <c r="T1" t="s">
        <v>95</v>
      </c>
      <c r="U1" t="s">
        <v>12</v>
      </c>
      <c r="V1" t="s">
        <v>16</v>
      </c>
    </row>
    <row r="2" spans="1:22" x14ac:dyDescent="0.3">
      <c r="A2" t="s">
        <v>55</v>
      </c>
      <c r="B2" t="s">
        <v>63</v>
      </c>
      <c r="C2" t="s">
        <v>0</v>
      </c>
      <c r="D2" t="s">
        <v>56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55</v>
      </c>
      <c r="B3" t="s">
        <v>63</v>
      </c>
      <c r="C3" t="s">
        <v>0</v>
      </c>
      <c r="D3" t="s">
        <v>52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55</v>
      </c>
      <c r="B4" t="s">
        <v>63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62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55</v>
      </c>
      <c r="B5" t="s">
        <v>63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57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55</v>
      </c>
      <c r="B6" t="s">
        <v>63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58</v>
      </c>
      <c r="U6" s="3">
        <v>0.37</v>
      </c>
    </row>
    <row r="7" spans="1:22" x14ac:dyDescent="0.3">
      <c r="A7" t="s">
        <v>55</v>
      </c>
      <c r="B7" t="s">
        <v>63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61</v>
      </c>
      <c r="B8" t="s">
        <v>59</v>
      </c>
      <c r="C8" t="s">
        <v>0</v>
      </c>
      <c r="D8" t="s">
        <v>48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61</v>
      </c>
      <c r="B9" t="s">
        <v>59</v>
      </c>
      <c r="C9" t="s">
        <v>0</v>
      </c>
      <c r="D9" t="s">
        <v>52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61</v>
      </c>
      <c r="B10" t="s">
        <v>59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62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61</v>
      </c>
      <c r="B11" t="s">
        <v>59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57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61</v>
      </c>
      <c r="B12" t="s">
        <v>59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58</v>
      </c>
      <c r="U12" s="3">
        <v>0.89</v>
      </c>
    </row>
    <row r="13" spans="1:22" x14ac:dyDescent="0.3">
      <c r="A13" t="s">
        <v>61</v>
      </c>
      <c r="B13" t="s">
        <v>59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44</v>
      </c>
      <c r="B14" t="s">
        <v>59</v>
      </c>
      <c r="C14" t="s">
        <v>0</v>
      </c>
      <c r="D14" t="s">
        <v>52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44</v>
      </c>
      <c r="B15" t="s">
        <v>59</v>
      </c>
      <c r="C15" t="s">
        <v>0</v>
      </c>
      <c r="D15" t="s">
        <v>49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44</v>
      </c>
      <c r="B16" t="s">
        <v>59</v>
      </c>
      <c r="C16" t="s">
        <v>0</v>
      </c>
      <c r="D16" t="s">
        <v>56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44</v>
      </c>
      <c r="B17" t="s">
        <v>59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62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44</v>
      </c>
      <c r="B18" t="s">
        <v>59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60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44</v>
      </c>
      <c r="B19" t="s">
        <v>59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57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44</v>
      </c>
      <c r="B20" t="s">
        <v>59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58</v>
      </c>
      <c r="U20" s="3">
        <v>75</v>
      </c>
    </row>
    <row r="21" spans="1:22" x14ac:dyDescent="0.3">
      <c r="A21" t="s">
        <v>44</v>
      </c>
      <c r="B21" t="s">
        <v>59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90</v>
      </c>
      <c r="U21" s="3">
        <v>5.7140000000000004</v>
      </c>
    </row>
    <row r="22" spans="1:22" x14ac:dyDescent="0.3">
      <c r="A22" t="s">
        <v>44</v>
      </c>
      <c r="B22" t="s">
        <v>59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116</v>
      </c>
      <c r="B23" t="s">
        <v>59</v>
      </c>
      <c r="C23" t="s">
        <v>0</v>
      </c>
      <c r="D23" t="s">
        <v>52</v>
      </c>
      <c r="I23" s="3">
        <v>0.13200000000000001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116</v>
      </c>
      <c r="B24" t="s">
        <v>59</v>
      </c>
      <c r="C24" t="s">
        <v>0</v>
      </c>
      <c r="D24" t="s">
        <v>66</v>
      </c>
      <c r="I24" s="3">
        <v>6.7000000000000004E-2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116</v>
      </c>
      <c r="B25" t="s">
        <v>59</v>
      </c>
      <c r="C25" t="s">
        <v>0</v>
      </c>
      <c r="D25" t="s">
        <v>49</v>
      </c>
      <c r="I25" s="3">
        <v>0.08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116</v>
      </c>
      <c r="B26" t="s">
        <v>59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60</v>
      </c>
      <c r="O26">
        <v>2.1999999999999999E-2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116</v>
      </c>
      <c r="B27" t="s">
        <v>59</v>
      </c>
      <c r="C27" t="s">
        <v>2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P27" t="s">
        <v>58</v>
      </c>
      <c r="U27" s="3">
        <v>2.5</v>
      </c>
    </row>
    <row r="28" spans="1:22" x14ac:dyDescent="0.3">
      <c r="A28" t="s">
        <v>116</v>
      </c>
      <c r="B28" t="s">
        <v>59</v>
      </c>
      <c r="C28" t="s">
        <v>15</v>
      </c>
      <c r="I28" s="3">
        <f>IFERROR(FactTable[[#This Row],[cantidadUsadaMaterial]]*FactTable[[#This Row],[costoMaterial$]]/FactTable[[#This Row],[unidadUsadaMaterial]],0)</f>
        <v>0</v>
      </c>
      <c r="O28">
        <f>IFERROR(FactTable[[#This Row],[cantidadUsadaServicio]]*FactTable[[#This Row],[costoServicio$]]/FactTable[[#This Row],[unidadUsadaServicio]],0)</f>
        <v>0</v>
      </c>
      <c r="U28" s="3">
        <f>IFERROR(FactTable[[#This Row],[cantidadUsadaManoObra]]*FactTable[[#This Row],[costoManoObra$]]/FactTable[[#This Row],[unidadUsadaManoObra]],0)</f>
        <v>0</v>
      </c>
      <c r="V28">
        <v>0.3</v>
      </c>
    </row>
    <row r="29" spans="1:22" x14ac:dyDescent="0.3">
      <c r="A29" t="s">
        <v>43</v>
      </c>
      <c r="B29" t="s">
        <v>67</v>
      </c>
      <c r="C29" t="s">
        <v>0</v>
      </c>
      <c r="D29" t="s">
        <v>52</v>
      </c>
      <c r="I29" s="3">
        <v>0.04</v>
      </c>
      <c r="O29">
        <f>IFERROR(FactTable[[#This Row],[cantidadUsadaServicio]]*FactTable[[#This Row],[costoServicio$]]/FactTable[[#This Row],[unidadUsadaServicio]],0)</f>
        <v>0</v>
      </c>
      <c r="U29" s="3">
        <f>IFERROR(FactTable[[#This Row],[cantidadUsadaManoObra]]*FactTable[[#This Row],[costoManoObra$]]/FactTable[[#This Row],[unidadUsadaManoObra]],0)</f>
        <v>0</v>
      </c>
    </row>
    <row r="30" spans="1:22" x14ac:dyDescent="0.3">
      <c r="A30" t="s">
        <v>43</v>
      </c>
      <c r="B30" t="s">
        <v>67</v>
      </c>
      <c r="C30" t="s">
        <v>0</v>
      </c>
      <c r="D30" t="s">
        <v>64</v>
      </c>
      <c r="I30" s="3">
        <v>0.2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</row>
    <row r="31" spans="1:22" x14ac:dyDescent="0.3">
      <c r="A31" t="s">
        <v>43</v>
      </c>
      <c r="B31" t="s">
        <v>67</v>
      </c>
      <c r="C31" t="s">
        <v>0</v>
      </c>
      <c r="D31" t="s">
        <v>66</v>
      </c>
      <c r="I31" s="3">
        <v>0.01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43</v>
      </c>
      <c r="B32" t="s">
        <v>67</v>
      </c>
      <c r="C32" t="s">
        <v>1</v>
      </c>
      <c r="I32" s="3">
        <f>IFERROR(FactTable[[#This Row],[cantidadUsadaMaterial]]*FactTable[[#This Row],[costoMaterial$]]/FactTable[[#This Row],[unidadUsadaMaterial]],0)</f>
        <v>0</v>
      </c>
      <c r="J32" t="s">
        <v>62</v>
      </c>
      <c r="O32">
        <v>0.03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43</v>
      </c>
      <c r="B33" t="s">
        <v>67</v>
      </c>
      <c r="C33" t="s">
        <v>1</v>
      </c>
      <c r="I33" s="3">
        <f>IFERROR(FactTable[[#This Row],[cantidadUsadaMaterial]]*FactTable[[#This Row],[costoMaterial$]]/FactTable[[#This Row],[unidadUsadaMaterial]],0)</f>
        <v>0</v>
      </c>
      <c r="J33" t="s">
        <v>60</v>
      </c>
      <c r="O33">
        <v>0.08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43</v>
      </c>
      <c r="B34" t="s">
        <v>67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57</v>
      </c>
      <c r="O34">
        <v>8.8999999999999996E-2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43</v>
      </c>
      <c r="B35" t="s">
        <v>67</v>
      </c>
      <c r="C35" t="s">
        <v>2</v>
      </c>
      <c r="I35" s="3">
        <f>IFERROR(FactTable[[#This Row],[cantidadUsadaMaterial]]*FactTable[[#This Row],[costoMaterial$]]/FactTable[[#This Row],[unidadUsadaMaterial]],0)</f>
        <v>0</v>
      </c>
      <c r="O35">
        <f>IFERROR(FactTable[[#This Row],[cantidadUsadaServicio]]*FactTable[[#This Row],[costoServicio$]]/FactTable[[#This Row],[unidadUsadaServicio]],0)</f>
        <v>0</v>
      </c>
      <c r="P35" t="s">
        <v>58</v>
      </c>
      <c r="U35" s="3">
        <v>0.37</v>
      </c>
    </row>
    <row r="36" spans="1:22" x14ac:dyDescent="0.3">
      <c r="A36" t="s">
        <v>43</v>
      </c>
      <c r="B36" t="s">
        <v>67</v>
      </c>
      <c r="C36" t="s">
        <v>15</v>
      </c>
      <c r="I36" s="3">
        <f>IFERROR(FactTable[[#This Row],[cantidadUsadaMaterial]]*FactTable[[#This Row],[costoMaterial$]]/FactTable[[#This Row],[unidadUsadaMaterial]],0)</f>
        <v>0</v>
      </c>
      <c r="O36">
        <f>IFERROR(FactTable[[#This Row],[cantidadUsadaServicio]]*FactTable[[#This Row],[costoServicio$]]/FactTable[[#This Row],[unidadUsadaServicio]],0)</f>
        <v>0</v>
      </c>
      <c r="U36" s="3">
        <f>IFERROR(FactTable[[#This Row],[cantidadUsadaManoObra]]*FactTable[[#This Row],[costoManoObra$]]/FactTable[[#This Row],[unidadUsadaManoObra]],0)</f>
        <v>0</v>
      </c>
      <c r="V36">
        <v>0.3</v>
      </c>
    </row>
    <row r="37" spans="1:22" x14ac:dyDescent="0.3">
      <c r="A37" t="s">
        <v>117</v>
      </c>
      <c r="B37" t="s">
        <v>59</v>
      </c>
      <c r="C37" t="s">
        <v>0</v>
      </c>
      <c r="D37" t="s">
        <v>52</v>
      </c>
      <c r="I37" s="3">
        <v>0.111</v>
      </c>
      <c r="O37">
        <f>IFERROR(FactTable[[#This Row],[cantidadUsadaServicio]]*FactTable[[#This Row],[costoServicio$]]/FactTable[[#This Row],[unidadUsadaServicio]],0)</f>
        <v>0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117</v>
      </c>
      <c r="B38" t="s">
        <v>59</v>
      </c>
      <c r="C38" t="s">
        <v>0</v>
      </c>
      <c r="D38" t="s">
        <v>118</v>
      </c>
      <c r="I38" s="3">
        <v>0.157</v>
      </c>
      <c r="O38">
        <f>IFERROR(FactTable[[#This Row],[cantidadUsadaServicio]]*FactTable[[#This Row],[costoServicio$]]/FactTable[[#This Row],[unidadUsadaServicio]],0)</f>
        <v>0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117</v>
      </c>
      <c r="B39" t="s">
        <v>59</v>
      </c>
      <c r="C39" t="s">
        <v>0</v>
      </c>
      <c r="D39" t="s">
        <v>66</v>
      </c>
      <c r="I39" s="3">
        <v>1.4999999999999999E-2</v>
      </c>
      <c r="O39">
        <f>IFERROR(FactTable[[#This Row],[cantidadUsadaServicio]]*FactTable[[#This Row],[costoServicio$]]/FactTable[[#This Row],[unidadUsadaServicio]],0)</f>
        <v>0</v>
      </c>
      <c r="U39" s="3">
        <f>IFERROR(FactTable[[#This Row],[cantidadUsadaManoObra]]*FactTable[[#This Row],[costoManoObra$]]/FactTable[[#This Row],[unidadUsadaManoObra]],0)</f>
        <v>0</v>
      </c>
    </row>
    <row r="40" spans="1:22" x14ac:dyDescent="0.3">
      <c r="A40" t="s">
        <v>117</v>
      </c>
      <c r="B40" t="s">
        <v>59</v>
      </c>
      <c r="C40" t="s">
        <v>0</v>
      </c>
      <c r="D40" t="s">
        <v>49</v>
      </c>
      <c r="I40" s="3">
        <v>0.06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</row>
    <row r="41" spans="1:22" x14ac:dyDescent="0.3">
      <c r="A41" t="s">
        <v>117</v>
      </c>
      <c r="B41" t="s">
        <v>59</v>
      </c>
      <c r="C41" t="s">
        <v>1</v>
      </c>
      <c r="I41" s="3">
        <f>IFERROR(FactTable[[#This Row],[cantidadUsadaMaterial]]*FactTable[[#This Row],[costoMaterial$]]/FactTable[[#This Row],[unidadUsadaMaterial]],0)</f>
        <v>0</v>
      </c>
      <c r="J41" t="s">
        <v>119</v>
      </c>
      <c r="O41">
        <v>0.501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117</v>
      </c>
      <c r="B42" t="s">
        <v>59</v>
      </c>
      <c r="C42" t="s">
        <v>1</v>
      </c>
      <c r="I42" s="3">
        <f>IFERROR(FactTable[[#This Row],[cantidadUsadaMaterial]]*FactTable[[#This Row],[costoMaterial$]]/FactTable[[#This Row],[unidadUsadaMaterial]],0)</f>
        <v>0</v>
      </c>
      <c r="J42" t="s">
        <v>57</v>
      </c>
      <c r="O42">
        <v>8.8999999999999996E-2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117</v>
      </c>
      <c r="B43" t="s">
        <v>59</v>
      </c>
      <c r="C43" t="s">
        <v>1</v>
      </c>
      <c r="I43" s="3">
        <f>IFERROR(FactTable[[#This Row],[cantidadUsadaMaterial]]*FactTable[[#This Row],[costoMaterial$]]/FactTable[[#This Row],[unidadUsadaMaterial]],0)</f>
        <v>0</v>
      </c>
      <c r="J43" t="s">
        <v>62</v>
      </c>
      <c r="O43">
        <v>1.7000000000000001E-2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117</v>
      </c>
      <c r="B44" t="s">
        <v>59</v>
      </c>
      <c r="C44" t="s">
        <v>1</v>
      </c>
      <c r="I44" s="3">
        <f>IFERROR(FactTable[[#This Row],[cantidadUsadaMaterial]]*FactTable[[#This Row],[costoMaterial$]]/FactTable[[#This Row],[unidadUsadaMaterial]],0)</f>
        <v>0</v>
      </c>
      <c r="J44" t="s">
        <v>60</v>
      </c>
      <c r="O44">
        <v>5.0000000000000001E-3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117</v>
      </c>
      <c r="B45" t="s">
        <v>59</v>
      </c>
      <c r="C45" t="s">
        <v>2</v>
      </c>
      <c r="I45" s="3">
        <f>IFERROR(FactTable[[#This Row],[cantidadUsadaMaterial]]*FactTable[[#This Row],[costoMaterial$]]/FactTable[[#This Row],[unidadUsadaMaterial]],0)</f>
        <v>0</v>
      </c>
      <c r="O45">
        <f>IFERROR(FactTable[[#This Row],[cantidadUsadaServicio]]*FactTable[[#This Row],[costoServicio$]]/FactTable[[#This Row],[unidadUsadaServicio]],0)</f>
        <v>0</v>
      </c>
      <c r="P45" t="s">
        <v>58</v>
      </c>
      <c r="U45" s="3">
        <v>0.875</v>
      </c>
    </row>
    <row r="46" spans="1:22" x14ac:dyDescent="0.3">
      <c r="A46" t="s">
        <v>117</v>
      </c>
      <c r="B46" t="s">
        <v>59</v>
      </c>
      <c r="C46" t="s">
        <v>15</v>
      </c>
      <c r="I46" s="3">
        <f>IFERROR(FactTable[[#This Row],[cantidadUsadaMaterial]]*FactTable[[#This Row],[costoMaterial$]]/FactTable[[#This Row],[unidadUsadaMaterial]],0)</f>
        <v>0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  <c r="V46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5.6640625" bestFit="1" customWidth="1"/>
    <col min="2" max="2" width="19.6640625" bestFit="1" customWidth="1"/>
    <col min="3" max="3" width="8.5546875" bestFit="1" customWidth="1"/>
    <col min="4" max="4" width="13.21875" bestFit="1" customWidth="1"/>
    <col min="5" max="5" width="10.77734375" bestFit="1" customWidth="1"/>
    <col min="7" max="7" width="21.77734375" customWidth="1"/>
    <col min="8" max="8" width="15.5546875" customWidth="1"/>
  </cols>
  <sheetData>
    <row r="1" spans="1:11" x14ac:dyDescent="0.3">
      <c r="A1" s="4" t="s">
        <v>27</v>
      </c>
      <c r="B1" t="s">
        <v>61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>
        <v>0</v>
      </c>
      <c r="D4" s="3">
        <v>0.89</v>
      </c>
      <c r="G4" t="s">
        <v>18</v>
      </c>
      <c r="H4" s="7">
        <f>B8+C8+D8</f>
        <v>1.7919999999999998</v>
      </c>
      <c r="J4" t="str">
        <f>B3</f>
        <v>Materiales</v>
      </c>
      <c r="K4" s="7">
        <f>B8</f>
        <v>0.313</v>
      </c>
    </row>
    <row r="5" spans="1:11" x14ac:dyDescent="0.3">
      <c r="A5" s="5" t="s">
        <v>15</v>
      </c>
      <c r="B5" s="3">
        <v>0</v>
      </c>
      <c r="C5">
        <v>0</v>
      </c>
      <c r="D5" s="3">
        <v>0</v>
      </c>
      <c r="E5">
        <v>0.52</v>
      </c>
      <c r="G5" t="s">
        <v>19</v>
      </c>
      <c r="H5" s="9">
        <f>H4*E8</f>
        <v>0.93183999999999989</v>
      </c>
      <c r="J5" t="str">
        <f>C3</f>
        <v>Servicios</v>
      </c>
      <c r="K5" s="7">
        <f>C8</f>
        <v>0.58899999999999997</v>
      </c>
    </row>
    <row r="6" spans="1:11" x14ac:dyDescent="0.3">
      <c r="A6" s="5" t="s">
        <v>0</v>
      </c>
      <c r="B6" s="3">
        <v>0.313</v>
      </c>
      <c r="C6">
        <v>0</v>
      </c>
      <c r="D6" s="3">
        <v>0</v>
      </c>
      <c r="G6" t="s">
        <v>20</v>
      </c>
      <c r="H6" s="7">
        <f>SUM(H4:H5)</f>
        <v>2.7238399999999996</v>
      </c>
      <c r="J6" t="str">
        <f>D3</f>
        <v>Mano de Obra</v>
      </c>
      <c r="K6" s="7">
        <f>D8</f>
        <v>0.89</v>
      </c>
    </row>
    <row r="7" spans="1:11" x14ac:dyDescent="0.3">
      <c r="A7" s="5" t="s">
        <v>1</v>
      </c>
      <c r="B7" s="3">
        <v>0</v>
      </c>
      <c r="C7">
        <v>0.58899999999999997</v>
      </c>
      <c r="D7" s="3">
        <v>0</v>
      </c>
    </row>
    <row r="8" spans="1:11" x14ac:dyDescent="0.3">
      <c r="A8" s="5" t="s">
        <v>17</v>
      </c>
      <c r="B8" s="7">
        <v>0.313</v>
      </c>
      <c r="C8" s="7">
        <v>0.58899999999999997</v>
      </c>
      <c r="D8" s="7">
        <v>0.89</v>
      </c>
      <c r="E8" s="8">
        <v>0.52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77734375" bestFit="1" customWidth="1"/>
    <col min="2" max="2" width="25.2187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68</v>
      </c>
      <c r="B1" s="14" t="s">
        <v>46</v>
      </c>
      <c r="C1" s="14" t="s">
        <v>81</v>
      </c>
      <c r="D1" s="14" t="s">
        <v>86</v>
      </c>
    </row>
    <row r="2" spans="1:4" ht="18.600000000000001" x14ac:dyDescent="0.45">
      <c r="A2" s="14" t="s">
        <v>69</v>
      </c>
      <c r="B2" s="14" t="s">
        <v>74</v>
      </c>
      <c r="C2" s="14" t="s">
        <v>73</v>
      </c>
      <c r="D2" s="14">
        <v>1</v>
      </c>
    </row>
    <row r="3" spans="1:4" ht="18.600000000000001" x14ac:dyDescent="0.45">
      <c r="A3" s="14" t="s">
        <v>45</v>
      </c>
      <c r="B3" s="14" t="s">
        <v>45</v>
      </c>
      <c r="C3" s="14" t="s">
        <v>82</v>
      </c>
      <c r="D3" s="14">
        <v>1</v>
      </c>
    </row>
    <row r="4" spans="1:4" ht="18.600000000000001" x14ac:dyDescent="0.45">
      <c r="A4" s="14" t="s">
        <v>70</v>
      </c>
      <c r="B4" s="14" t="s">
        <v>109</v>
      </c>
      <c r="C4" s="14" t="s">
        <v>85</v>
      </c>
      <c r="D4" s="14">
        <v>1</v>
      </c>
    </row>
    <row r="5" spans="1:4" ht="18.600000000000001" x14ac:dyDescent="0.45">
      <c r="A5" s="14" t="s">
        <v>69</v>
      </c>
      <c r="B5" s="14" t="s">
        <v>91</v>
      </c>
      <c r="C5" s="14" t="s">
        <v>73</v>
      </c>
      <c r="D5" s="14">
        <v>2</v>
      </c>
    </row>
    <row r="6" spans="1:4" ht="18.600000000000001" x14ac:dyDescent="0.45">
      <c r="A6" s="14" t="s">
        <v>69</v>
      </c>
      <c r="B6" s="14" t="s">
        <v>92</v>
      </c>
      <c r="C6" s="14" t="s">
        <v>73</v>
      </c>
      <c r="D6" s="14">
        <v>3</v>
      </c>
    </row>
    <row r="7" spans="1:4" ht="18.600000000000001" x14ac:dyDescent="0.45">
      <c r="A7" s="14" t="s">
        <v>70</v>
      </c>
      <c r="B7" s="14" t="s">
        <v>105</v>
      </c>
      <c r="C7" s="14" t="s">
        <v>85</v>
      </c>
      <c r="D7" s="14">
        <v>2</v>
      </c>
    </row>
    <row r="8" spans="1:4" ht="18.600000000000001" x14ac:dyDescent="0.45">
      <c r="A8" s="14" t="s">
        <v>71</v>
      </c>
      <c r="B8" s="14" t="s">
        <v>101</v>
      </c>
      <c r="C8" s="14" t="s">
        <v>83</v>
      </c>
      <c r="D8" s="14">
        <v>2</v>
      </c>
    </row>
    <row r="9" spans="1:4" ht="18.600000000000001" x14ac:dyDescent="0.45">
      <c r="A9" s="14" t="s">
        <v>72</v>
      </c>
      <c r="B9" s="14" t="s">
        <v>75</v>
      </c>
      <c r="C9" s="14" t="s">
        <v>84</v>
      </c>
      <c r="D9" s="14">
        <v>5</v>
      </c>
    </row>
    <row r="10" spans="1:4" ht="18.600000000000001" x14ac:dyDescent="0.45">
      <c r="A10" s="14" t="s">
        <v>72</v>
      </c>
      <c r="B10" s="14" t="s">
        <v>76</v>
      </c>
      <c r="C10" s="14" t="s">
        <v>84</v>
      </c>
      <c r="D10" s="14">
        <v>4</v>
      </c>
    </row>
    <row r="11" spans="1:4" ht="18.600000000000001" x14ac:dyDescent="0.45">
      <c r="A11" s="14" t="s">
        <v>72</v>
      </c>
      <c r="B11" s="14" t="s">
        <v>77</v>
      </c>
      <c r="C11" s="14" t="s">
        <v>84</v>
      </c>
      <c r="D11" s="14">
        <v>6</v>
      </c>
    </row>
    <row r="12" spans="1:4" ht="18.600000000000001" x14ac:dyDescent="0.45">
      <c r="A12" s="14" t="s">
        <v>72</v>
      </c>
      <c r="B12" s="14" t="s">
        <v>78</v>
      </c>
      <c r="C12" s="14" t="s">
        <v>84</v>
      </c>
      <c r="D12" s="14">
        <v>7</v>
      </c>
    </row>
    <row r="13" spans="1:4" ht="18.600000000000001" x14ac:dyDescent="0.45">
      <c r="A13" s="14" t="s">
        <v>72</v>
      </c>
      <c r="B13" s="14" t="s">
        <v>79</v>
      </c>
      <c r="C13" s="14" t="s">
        <v>84</v>
      </c>
      <c r="D13" s="14">
        <v>3</v>
      </c>
    </row>
    <row r="14" spans="1:4" ht="18.600000000000001" x14ac:dyDescent="0.45">
      <c r="A14" s="14" t="s">
        <v>72</v>
      </c>
      <c r="B14" s="14" t="s">
        <v>80</v>
      </c>
      <c r="C14" s="14" t="s">
        <v>84</v>
      </c>
      <c r="D14" s="14">
        <v>2</v>
      </c>
    </row>
    <row r="15" spans="1:4" ht="18.600000000000001" x14ac:dyDescent="0.45">
      <c r="A15" s="14" t="s">
        <v>72</v>
      </c>
      <c r="B15" s="14" t="s">
        <v>106</v>
      </c>
      <c r="C15" s="14" t="s">
        <v>84</v>
      </c>
      <c r="D15" s="14">
        <v>1</v>
      </c>
    </row>
    <row r="16" spans="1:4" ht="18.600000000000001" x14ac:dyDescent="0.45">
      <c r="A16" s="14" t="s">
        <v>71</v>
      </c>
      <c r="B16" s="14" t="s">
        <v>110</v>
      </c>
      <c r="C16" s="14" t="s">
        <v>83</v>
      </c>
      <c r="D16" s="14">
        <v>1</v>
      </c>
    </row>
    <row r="17" spans="1:4" ht="18.600000000000001" x14ac:dyDescent="0.45">
      <c r="A17" s="14" t="s">
        <v>71</v>
      </c>
      <c r="B17" s="14" t="s">
        <v>102</v>
      </c>
      <c r="C17" s="14" t="s">
        <v>83</v>
      </c>
      <c r="D17" s="14">
        <v>5</v>
      </c>
    </row>
    <row r="18" spans="1:4" ht="18.600000000000001" x14ac:dyDescent="0.45">
      <c r="A18" s="14" t="s">
        <v>87</v>
      </c>
      <c r="B18" s="14" t="s">
        <v>88</v>
      </c>
      <c r="C18" s="14" t="s">
        <v>89</v>
      </c>
      <c r="D18" s="14">
        <v>1</v>
      </c>
    </row>
    <row r="19" spans="1:4" ht="18.600000000000001" x14ac:dyDescent="0.45">
      <c r="A19" s="14" t="s">
        <v>70</v>
      </c>
      <c r="B19" s="14" t="s">
        <v>107</v>
      </c>
      <c r="C19" s="14" t="s">
        <v>85</v>
      </c>
      <c r="D19" s="14">
        <v>3</v>
      </c>
    </row>
    <row r="20" spans="1:4" ht="18.600000000000001" x14ac:dyDescent="0.45">
      <c r="A20" s="14" t="s">
        <v>70</v>
      </c>
      <c r="B20" s="14" t="s">
        <v>108</v>
      </c>
      <c r="C20" s="14" t="s">
        <v>85</v>
      </c>
      <c r="D20" s="14">
        <v>4</v>
      </c>
    </row>
    <row r="21" spans="1:4" ht="18.600000000000001" x14ac:dyDescent="0.45">
      <c r="A21" s="14" t="s">
        <v>71</v>
      </c>
      <c r="B21" s="14" t="s">
        <v>103</v>
      </c>
      <c r="C21" s="14" t="s">
        <v>83</v>
      </c>
      <c r="D21" s="14">
        <v>3</v>
      </c>
    </row>
    <row r="22" spans="1:4" ht="18.600000000000001" x14ac:dyDescent="0.45">
      <c r="A22" s="14" t="s">
        <v>71</v>
      </c>
      <c r="B22" s="14" t="s">
        <v>104</v>
      </c>
      <c r="C22" s="14" t="s">
        <v>83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G11"/>
  <sheetViews>
    <sheetView workbookViewId="0">
      <selection activeCell="B1" sqref="B1:G1"/>
    </sheetView>
  </sheetViews>
  <sheetFormatPr baseColWidth="10" defaultRowHeight="18.600000000000001" x14ac:dyDescent="0.45"/>
  <cols>
    <col min="1" max="1" width="23.77734375" style="14" bestFit="1" customWidth="1"/>
    <col min="2" max="2" width="30.77734375" style="14" bestFit="1" customWidth="1"/>
    <col min="3" max="3" width="24.88671875" style="14" bestFit="1" customWidth="1"/>
    <col min="4" max="4" width="30" style="14" bestFit="1" customWidth="1"/>
    <col min="5" max="5" width="21.5546875" style="14" bestFit="1" customWidth="1"/>
    <col min="6" max="6" width="24.88671875" style="14" bestFit="1" customWidth="1"/>
    <col min="7" max="7" width="10.6640625" style="14" bestFit="1" customWidth="1"/>
    <col min="8" max="16384" width="11.5546875" style="14"/>
  </cols>
  <sheetData>
    <row r="1" spans="1:7" x14ac:dyDescent="0.45">
      <c r="A1" s="14" t="s">
        <v>31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x14ac:dyDescent="0.45">
      <c r="A2" s="14" t="s">
        <v>47</v>
      </c>
    </row>
    <row r="3" spans="1:7" x14ac:dyDescent="0.45">
      <c r="A3" s="14" t="s">
        <v>48</v>
      </c>
    </row>
    <row r="4" spans="1:7" x14ac:dyDescent="0.45">
      <c r="A4" s="14" t="s">
        <v>56</v>
      </c>
    </row>
    <row r="5" spans="1:7" x14ac:dyDescent="0.45">
      <c r="A5" s="14" t="s">
        <v>52</v>
      </c>
      <c r="B5" s="14" t="s">
        <v>69</v>
      </c>
      <c r="C5" s="14" t="s">
        <v>74</v>
      </c>
      <c r="D5" s="26">
        <v>9</v>
      </c>
      <c r="E5" s="14" t="s">
        <v>91</v>
      </c>
      <c r="F5" s="26">
        <v>10</v>
      </c>
      <c r="G5" s="26">
        <v>10</v>
      </c>
    </row>
    <row r="6" spans="1:7" x14ac:dyDescent="0.45">
      <c r="A6" s="14" t="s">
        <v>49</v>
      </c>
      <c r="B6" s="14" t="s">
        <v>45</v>
      </c>
      <c r="C6" s="14" t="s">
        <v>45</v>
      </c>
      <c r="D6" s="26">
        <v>100</v>
      </c>
      <c r="E6" s="14" t="s">
        <v>45</v>
      </c>
      <c r="F6" s="26">
        <v>1</v>
      </c>
      <c r="G6" s="26">
        <v>6</v>
      </c>
    </row>
    <row r="7" spans="1:7" x14ac:dyDescent="0.45">
      <c r="A7" s="14" t="s">
        <v>65</v>
      </c>
    </row>
    <row r="8" spans="1:7" x14ac:dyDescent="0.45">
      <c r="A8" s="14" t="s">
        <v>64</v>
      </c>
    </row>
    <row r="9" spans="1:7" x14ac:dyDescent="0.45">
      <c r="A9" s="14" t="s">
        <v>66</v>
      </c>
      <c r="B9" s="14" t="s">
        <v>45</v>
      </c>
      <c r="C9" s="14" t="s">
        <v>45</v>
      </c>
      <c r="D9" s="26">
        <v>100</v>
      </c>
      <c r="E9" s="14" t="s">
        <v>45</v>
      </c>
      <c r="F9" s="26">
        <v>1</v>
      </c>
      <c r="G9" s="26">
        <v>1.5</v>
      </c>
    </row>
    <row r="10" spans="1:7" x14ac:dyDescent="0.45">
      <c r="A10" s="14" t="s">
        <v>115</v>
      </c>
    </row>
    <row r="11" spans="1:7" x14ac:dyDescent="0.45">
      <c r="A11" s="14" t="s">
        <v>118</v>
      </c>
      <c r="B11" s="14" t="s">
        <v>45</v>
      </c>
      <c r="C11" s="14" t="s">
        <v>45</v>
      </c>
      <c r="D11" s="26">
        <v>46</v>
      </c>
      <c r="E11" s="14" t="s">
        <v>45</v>
      </c>
      <c r="F11" s="26">
        <v>12</v>
      </c>
      <c r="G11" s="26">
        <v>0.6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21875" bestFit="1" customWidth="1"/>
    <col min="5" max="5" width="23.7773437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ht="18.600000000000001" x14ac:dyDescent="0.45">
      <c r="A2" s="14" t="s">
        <v>57</v>
      </c>
      <c r="B2" s="14" t="s">
        <v>72</v>
      </c>
      <c r="C2" s="14" t="s">
        <v>75</v>
      </c>
      <c r="D2" s="26">
        <v>1</v>
      </c>
      <c r="E2" s="14" t="s">
        <v>80</v>
      </c>
      <c r="F2" s="26">
        <v>45</v>
      </c>
      <c r="G2" s="26">
        <v>20</v>
      </c>
    </row>
    <row r="3" spans="1:7" ht="18.600000000000001" x14ac:dyDescent="0.45">
      <c r="A3" s="14" t="s">
        <v>60</v>
      </c>
      <c r="B3" s="14" t="s">
        <v>72</v>
      </c>
      <c r="C3" s="14" t="s">
        <v>77</v>
      </c>
      <c r="D3" s="26">
        <v>1</v>
      </c>
      <c r="E3" s="14" t="s">
        <v>79</v>
      </c>
      <c r="F3" s="26">
        <v>0.75</v>
      </c>
      <c r="G3" s="26">
        <v>5</v>
      </c>
    </row>
    <row r="4" spans="1:7" ht="18.600000000000001" x14ac:dyDescent="0.45">
      <c r="A4" s="14" t="s">
        <v>62</v>
      </c>
      <c r="B4" s="14" t="s">
        <v>72</v>
      </c>
      <c r="C4" s="14" t="s">
        <v>77</v>
      </c>
      <c r="D4" s="26">
        <v>1</v>
      </c>
      <c r="E4" s="14" t="s">
        <v>79</v>
      </c>
      <c r="F4" s="26">
        <v>0.5</v>
      </c>
      <c r="G4" s="26">
        <v>25</v>
      </c>
    </row>
    <row r="5" spans="1:7" ht="18.600000000000001" x14ac:dyDescent="0.45">
      <c r="A5" s="14" t="s">
        <v>119</v>
      </c>
      <c r="B5" s="14" t="s">
        <v>87</v>
      </c>
      <c r="C5" s="14" t="s">
        <v>88</v>
      </c>
      <c r="D5" s="26">
        <v>100</v>
      </c>
      <c r="E5" s="14" t="s">
        <v>88</v>
      </c>
      <c r="F5" s="26">
        <v>1.6699999570846558</v>
      </c>
      <c r="G5" s="26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G3"/>
  <sheetViews>
    <sheetView workbookViewId="0">
      <selection activeCell="C9" sqref="C9"/>
    </sheetView>
  </sheetViews>
  <sheetFormatPr baseColWidth="10" defaultColWidth="12.7773437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21875" bestFit="1" customWidth="1"/>
    <col min="5" max="5" width="23.7773437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34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ht="18.600000000000001" x14ac:dyDescent="0.45">
      <c r="A2" s="14" t="s">
        <v>58</v>
      </c>
      <c r="B2" s="14" t="s">
        <v>72</v>
      </c>
      <c r="C2" s="14" t="s">
        <v>79</v>
      </c>
      <c r="D2" s="26">
        <v>1</v>
      </c>
      <c r="E2" s="14" t="s">
        <v>80</v>
      </c>
      <c r="F2" s="26">
        <v>30</v>
      </c>
      <c r="G2" s="26">
        <v>1.75</v>
      </c>
    </row>
    <row r="3" spans="1:7" ht="18.600000000000001" x14ac:dyDescent="0.45">
      <c r="A3" s="14" t="s">
        <v>90</v>
      </c>
      <c r="B3" s="14" t="s">
        <v>72</v>
      </c>
      <c r="C3" s="14" t="s">
        <v>75</v>
      </c>
      <c r="D3" s="26">
        <v>1</v>
      </c>
      <c r="E3" s="14" t="s">
        <v>76</v>
      </c>
      <c r="F3" s="26">
        <v>2</v>
      </c>
      <c r="G3" s="26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4"/>
  <sheetViews>
    <sheetView workbookViewId="0">
      <selection activeCell="B15" sqref="B15"/>
    </sheetView>
  </sheetViews>
  <sheetFormatPr baseColWidth="10" defaultRowHeight="14.4" x14ac:dyDescent="0.3"/>
  <cols>
    <col min="1" max="1" width="33.7773437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67</v>
      </c>
    </row>
    <row r="3" spans="1:1" ht="18.600000000000001" x14ac:dyDescent="0.45">
      <c r="A3" s="14" t="s">
        <v>59</v>
      </c>
    </row>
    <row r="4" spans="1:1" ht="18.600000000000001" x14ac:dyDescent="0.45">
      <c r="A4" s="14" t="s">
        <v>63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4"/>
  <sheetViews>
    <sheetView workbookViewId="0">
      <selection activeCell="A5" sqref="A5:XFD5"/>
    </sheetView>
  </sheetViews>
  <sheetFormatPr baseColWidth="10" defaultColWidth="12.44140625" defaultRowHeight="14.4" x14ac:dyDescent="0.3"/>
  <cols>
    <col min="2" max="2" width="189.6640625" bestFit="1" customWidth="1"/>
    <col min="3" max="3" width="25.33203125" bestFit="1" customWidth="1"/>
  </cols>
  <sheetData>
    <row r="1" spans="1:3" x14ac:dyDescent="0.3">
      <c r="A1" t="s">
        <v>40</v>
      </c>
      <c r="B1" t="s">
        <v>99</v>
      </c>
      <c r="C1" t="s">
        <v>100</v>
      </c>
    </row>
    <row r="2" spans="1:3" x14ac:dyDescent="0.3">
      <c r="A2" t="s">
        <v>39</v>
      </c>
      <c r="B2" t="s">
        <v>38</v>
      </c>
    </row>
    <row r="3" spans="1:3" x14ac:dyDescent="0.3">
      <c r="A3" t="s">
        <v>50</v>
      </c>
      <c r="B3" t="s">
        <v>51</v>
      </c>
    </row>
    <row r="4" spans="1:3" x14ac:dyDescent="0.3">
      <c r="A4" t="s">
        <v>53</v>
      </c>
      <c r="B4" t="s">
        <v>54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Formulario</vt:lpstr>
      <vt:lpstr>UNIDADES</vt:lpstr>
      <vt:lpstr>MATERIALES</vt:lpstr>
      <vt:lpstr>SERVICIOS</vt:lpstr>
      <vt:lpstr>MANO_DE_OBRA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2025-04-17T18:24:57Z</dcterms:modified>
</cp:coreProperties>
</file>