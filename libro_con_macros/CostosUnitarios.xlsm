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20804E97-C9E3-4E72-A370-1E7B1103A377}" xr6:coauthVersionLast="47" xr6:coauthVersionMax="47" xr10:uidLastSave="{00000000-0000-0000-0000-000000000000}"/>
  <bookViews>
    <workbookView xWindow="-108" yWindow="-108" windowWidth="23256" windowHeight="12456" tabRatio="720" firstSheet="1" activeTab="1" xr2:uid="{0B71C527-0382-40E8-A093-3C2F1EE8DB8E}"/>
  </bookViews>
  <sheets>
    <sheet name="Licencia" sheetId="18" state="hidden" r:id="rId1"/>
    <sheet name="Formulario" sheetId="6" r:id="rId2"/>
    <sheet name="FactTable" sheetId="2" state="veryHidden" r:id="rId3"/>
    <sheet name="UNIDADES" sheetId="7" state="hidden" r:id="rId4"/>
    <sheet name="MATERIALES" sheetId="10" state="hidden" r:id="rId5"/>
    <sheet name="SERVICIOS" sheetId="17" state="hidden" r:id="rId6"/>
    <sheet name="MANO_DE_OBRA" sheetId="15" state="hidden" r:id="rId7"/>
    <sheet name="CATEGORIAS" sheetId="16" state="hidden" r:id="rId8"/>
    <sheet name="Notas" sheetId="9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1" i="2" l="1"/>
  <c r="O61" i="2"/>
  <c r="U61" i="2"/>
  <c r="I60" i="2"/>
  <c r="O60" i="2"/>
  <c r="I59" i="2"/>
  <c r="O59" i="2"/>
  <c r="I58" i="2"/>
  <c r="U58" i="2"/>
  <c r="I57" i="2"/>
  <c r="U57" i="2"/>
  <c r="O56" i="2"/>
  <c r="U56" i="2"/>
  <c r="O55" i="2"/>
  <c r="U55" i="2"/>
  <c r="O54" i="2"/>
  <c r="U54" i="2"/>
  <c r="O53" i="2"/>
  <c r="U53" i="2"/>
  <c r="I52" i="2"/>
  <c r="O52" i="2"/>
  <c r="U52" i="2"/>
  <c r="I51" i="2"/>
  <c r="O51" i="2"/>
  <c r="I50" i="2"/>
  <c r="U50" i="2"/>
  <c r="I49" i="2"/>
  <c r="U49" i="2"/>
  <c r="I48" i="2"/>
  <c r="U48" i="2"/>
  <c r="I47" i="2"/>
  <c r="U47" i="2"/>
  <c r="O46" i="2"/>
  <c r="U46" i="2"/>
  <c r="O45" i="2"/>
  <c r="U45" i="2"/>
  <c r="O44" i="2"/>
  <c r="U44" i="2"/>
  <c r="O43" i="2"/>
  <c r="U43" i="2"/>
  <c r="O42" i="2"/>
  <c r="U42" i="2"/>
  <c r="O41" i="2"/>
  <c r="U41" i="2"/>
  <c r="I40" i="2"/>
  <c r="O40" i="2"/>
  <c r="U40" i="2"/>
  <c r="I39" i="2"/>
  <c r="O39" i="2"/>
  <c r="I38" i="2"/>
  <c r="U38" i="2"/>
  <c r="I37" i="2"/>
  <c r="U37" i="2"/>
  <c r="I36" i="2"/>
  <c r="U36" i="2"/>
  <c r="I35" i="2"/>
  <c r="U35" i="2"/>
  <c r="O34" i="2"/>
  <c r="U34" i="2"/>
  <c r="O33" i="2"/>
  <c r="U33" i="2"/>
  <c r="O32" i="2"/>
  <c r="U32" i="2"/>
  <c r="O31" i="2"/>
  <c r="U31" i="2"/>
  <c r="I30" i="2"/>
  <c r="O30" i="2"/>
  <c r="U30" i="2"/>
  <c r="I29" i="2"/>
  <c r="O29" i="2"/>
  <c r="I28" i="2"/>
  <c r="U28" i="2"/>
  <c r="I27" i="2"/>
  <c r="U27" i="2"/>
  <c r="I26" i="2"/>
  <c r="U26" i="2"/>
  <c r="O25" i="2"/>
  <c r="U25" i="2"/>
  <c r="O24" i="2"/>
  <c r="U24" i="2"/>
  <c r="O23" i="2"/>
  <c r="U23" i="2"/>
  <c r="I22" i="2"/>
  <c r="O22" i="2"/>
  <c r="U22" i="2"/>
  <c r="I21" i="2"/>
  <c r="O21" i="2"/>
  <c r="I20" i="2"/>
  <c r="O20" i="2"/>
  <c r="I19" i="2"/>
  <c r="U19" i="2"/>
  <c r="I18" i="2"/>
  <c r="U18" i="2"/>
  <c r="I17" i="2"/>
  <c r="U17" i="2"/>
  <c r="O16" i="2"/>
  <c r="U16" i="2"/>
  <c r="O15" i="2"/>
  <c r="U15" i="2"/>
  <c r="O14" i="2"/>
  <c r="U14" i="2"/>
  <c r="I13" i="2"/>
  <c r="O13" i="2"/>
  <c r="U13" i="2"/>
  <c r="I12" i="2"/>
  <c r="O12" i="2"/>
  <c r="I11" i="2"/>
  <c r="U11" i="2"/>
  <c r="I10" i="2"/>
  <c r="U10" i="2"/>
  <c r="O9" i="2"/>
  <c r="U9" i="2"/>
  <c r="O8" i="2"/>
  <c r="U8" i="2"/>
  <c r="I7" i="2"/>
  <c r="O7" i="2"/>
  <c r="U7" i="2"/>
  <c r="I6" i="2"/>
  <c r="O6" i="2"/>
  <c r="I5" i="2"/>
  <c r="U5" i="2"/>
  <c r="I4" i="2"/>
  <c r="U4" i="2"/>
  <c r="O3" i="2"/>
  <c r="U3" i="2"/>
  <c r="O2" i="2"/>
  <c r="U2" i="2"/>
  <c r="K16" i="6" l="1"/>
  <c r="H16" i="6"/>
  <c r="E16" i="6"/>
  <c r="M10" i="6" l="1"/>
  <c r="K33" i="6"/>
  <c r="M7" i="6"/>
  <c r="K32" i="6"/>
  <c r="M4" i="6"/>
  <c r="K31" i="6"/>
  <c r="M13" i="6" l="1"/>
  <c r="M16" i="6" s="1"/>
</calcChain>
</file>

<file path=xl/sharedStrings.xml><?xml version="1.0" encoding="utf-8"?>
<sst xmlns="http://schemas.openxmlformats.org/spreadsheetml/2006/main" count="480" uniqueCount="128">
  <si>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</si>
  <si>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</si>
  <si>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</si>
  <si>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</si>
  <si>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</si>
  <si>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</si>
  <si>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</si>
  <si>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</si>
  <si>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</si>
  <si>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</si>
  <si>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</si>
  <si>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</si>
  <si>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</si>
  <si>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</si>
  <si>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</si>
  <si>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</si>
  <si>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</si>
  <si>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</si>
  <si>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</si>
  <si>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</si>
  <si>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</si>
  <si>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</si>
  <si>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</si>
  <si>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</si>
  <si>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</si>
  <si>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</si>
  <si>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</si>
  <si>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</si>
  <si>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</si>
  <si>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</si>
  <si>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</si>
  <si>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</si>
  <si>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</si>
  <si>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</si>
  <si>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</si>
  <si>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ROJAS</t>
  </si>
  <si>
    <t>PIEDRAS CUARZO</t>
  </si>
  <si>
    <t>TARJETA</t>
  </si>
  <si>
    <t>ALAMBRE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</si>
  <si>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</si>
  <si>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</si>
  <si>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</si>
  <si>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</si>
  <si>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</si>
  <si>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</si>
  <si>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</si>
  <si>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</si>
  <si>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</si>
  <si>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</si>
  <si>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</si>
  <si>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</si>
  <si>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</si>
  <si>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</si>
  <si>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</si>
  <si>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</si>
  <si>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</si>
  <si>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</si>
  <si>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</si>
  <si>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</si>
  <si>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</si>
  <si>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</si>
  <si>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</si>
  <si>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</si>
  <si>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</si>
  <si>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</si>
  <si>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</si>
  <si>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</si>
  <si>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</si>
  <si>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</si>
  <si>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</si>
  <si>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</si>
  <si>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</si>
  <si>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</si>
  <si>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</si>
  <si>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</si>
  <si>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</si>
  <si>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</si>
  <si>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</si>
  <si>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</si>
  <si>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</si>
  <si>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</si>
  <si>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</si>
  <si>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</si>
  <si>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</si>
  <si>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</si>
  <si>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</si>
  <si>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</si>
  <si>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</si>
  <si>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</si>
  <si>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</si>
  <si>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</si>
  <si>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</si>
  <si>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</si>
  <si>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</si>
  <si>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</si>
  <si>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MEDIDA DE COSTO</t>
  </si>
  <si>
    <t>CANTIDAD DE USO</t>
  </si>
  <si>
    <t>CANTIDAD COMPRADA</t>
  </si>
  <si>
    <t>MEDIDA DE USO</t>
  </si>
  <si>
    <t>CUERO</t>
  </si>
  <si>
    <t>PULSERA DE HOMBRE</t>
  </si>
  <si>
    <t>PULSERA ROMI</t>
  </si>
  <si>
    <t>CRISTALES</t>
  </si>
  <si>
    <t>CONTADOR</t>
  </si>
  <si>
    <t>ALAMBRE 18</t>
  </si>
  <si>
    <t>ALAMBRE 20</t>
  </si>
  <si>
    <t>ALAMBRE 22</t>
  </si>
  <si>
    <t>ALAMBRE 24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</si>
  <si>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</si>
  <si>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</si>
  <si>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</si>
  <si>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</si>
  <si>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</si>
  <si>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</si>
  <si>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</si>
  <si>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</si>
  <si>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</si>
  <si>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MOSTACILLA CALIBRADA</t>
  </si>
  <si>
    <t>GUAYA</t>
  </si>
  <si>
    <t>TAPA NUDOS</t>
  </si>
  <si>
    <t>GRAPAS</t>
  </si>
  <si>
    <t>ARGOLLAS</t>
  </si>
  <si>
    <t>BALIN 3MM</t>
  </si>
  <si>
    <t>HILO</t>
  </si>
  <si>
    <t>Nombre</t>
  </si>
  <si>
    <t>Código</t>
  </si>
  <si>
    <t>Vencimiento</t>
  </si>
  <si>
    <t>Romina Mori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</si>
</sst>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$-540A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164" fontId="0" fillId="0" borderId="0" xfId="0" applyNumberForma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Alignment="1">
      <alignment horizontal="right"/>
    </xf>
    <xf numFmtId="0" fontId="8" fillId="7" borderId="5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9" xfId="0" applyFont="1" applyFill="1" applyBorder="1" applyAlignment="1">
      <alignment horizontal="left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0" fillId="0" borderId="0" xfId="3" applyFon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58"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2" formatCode="0.00"/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1.1949999999999998</c:v>
                </c:pt>
                <c:pt idx="1">
                  <c:v>1.4219999999999999</c:v>
                </c:pt>
                <c:pt idx="2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10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2457788</xdr:colOff>
      <xdr:row>10</xdr:row>
      <xdr:rowOff>199055</xdr:rowOff>
    </xdr:from>
    <xdr:to>
      <xdr:col>1</xdr:col>
      <xdr:colOff>2727027</xdr:colOff>
      <xdr:row>11</xdr:row>
      <xdr:rowOff>240372</xdr:rowOff>
    </xdr:to>
    <xdr:pic macro="[0]!ActivarListasDeValores"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6388" y="2911775"/>
          <a:ext cx="269239" cy="262297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68980" y="274321"/>
          <a:ext cx="381000" cy="304800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778240" y="274321"/>
          <a:ext cx="381000" cy="304800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63640" y="274320"/>
          <a:ext cx="381000" cy="304800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2657131</xdr:colOff>
      <xdr:row>5</xdr:row>
      <xdr:rowOff>243840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3C41BFF-2ECF-49B3-80F4-5DDB47E98D9B}" name="Tabla4" displayName="Tabla4" ref="A1:C2" totalsRowShown="0">
  <autoFilter ref="A1:C2" xr:uid="{83C41BFF-2ECF-49B3-80F4-5DDB47E98D9B}"/>
  <tableColumns count="3">
    <tableColumn id="1" xr3:uid="{4E74FC81-B833-4674-8EE7-34210CF3C842}" name="Nombre"/>
    <tableColumn id="2" xr3:uid="{4798EABA-95B8-4AFC-9D1A-BE05FC5CCD9D}" name="Código"/>
    <tableColumn id="3" xr3:uid="{D2E889A8-DA9C-4EC5-9F14-BB6A7CE99C0C}" name="Vencimi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57" totalsRowDxfId="55" tableBorderDxfId="56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54"/>
    <tableColumn id="2" xr3:uid="{67F9B078-7971-4210-877B-9C9A2263ED2A}" name="COSTO($)" totalsRowFunction="sum" totalsRow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52" dataDxfId="51" totalsRowDxfId="50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49" totalsRowDxfId="48"/>
    <tableColumn id="2" xr3:uid="{FED94907-3424-45B2-861F-853E156B063B}" name="COSTO($)" totalsRowFunction="sum" dataDxfId="47" totalsRow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45" dataDxfId="44" totalsRowDxfId="43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42" totalsRowDxfId="41"/>
    <tableColumn id="2" xr3:uid="{D1EF3DFB-AA71-407B-AEF5-6C727B011AC1}" name="COSTO($)" totalsRowFunction="sum" dataDxfId="40" totalsRow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61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38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37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36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35" dataDxfId="34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33"/>
    <tableColumn id="1" xr3:uid="{E1A683EB-EE64-45BC-9626-90EF28F9D8EC}" name="UNIDADES" dataDxfId="32"/>
    <tableColumn id="4" xr3:uid="{79D4A729-AFF7-45E8-B9A1-FF1356E622DD}" name="TIPO DE MEDIDA CON EJEMPLO" dataDxfId="31"/>
    <tableColumn id="5" xr3:uid="{BC6A7262-7D1D-4DEF-B12A-AA80E287FA5C}" name="ORDENAR" dataDxfId="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G29" totalsRowShown="0" headerRowDxfId="29" dataDxfId="28">
  <sortState xmlns:xlrd2="http://schemas.microsoft.com/office/spreadsheetml/2017/richdata2" ref="A2:G28">
    <sortCondition ref="A1:A28"/>
  </sortState>
  <tableColumns count="7">
    <tableColumn id="1" xr3:uid="{1B2EB763-6053-4247-A4D7-F9836FFA73EA}" name="MATERIAL" dataDxfId="27"/>
    <tableColumn id="2" xr3:uid="{3482D2CF-B368-4191-91D2-676ECD1A621F}" name="TIPO DE MEDIDA" dataDxfId="26"/>
    <tableColumn id="3" xr3:uid="{C67EF1B5-A9B0-4212-A109-5F8EEDE51D15}" name="MEDIDA DE COSTO" dataDxfId="25"/>
    <tableColumn id="4" xr3:uid="{44E19CED-6E78-4420-9CAE-89CDDDAE05BF}" name="CANTIDAD COMPRADA" dataDxfId="24"/>
    <tableColumn id="5" xr3:uid="{EE4D61C4-3D8B-494D-9A5E-C2E4D627CCCF}" name="MEDIDA DE USO" dataDxfId="23"/>
    <tableColumn id="6" xr3:uid="{312A5358-58F4-4DBF-9258-110FFC9621BF}" name="CANTIDAD DE USO" dataDxfId="22"/>
    <tableColumn id="7" xr3:uid="{BD82A5E5-D017-492B-8AD2-228E552C3F2D}" name="PRECIO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G5" totalsRowShown="0" headerRowDxfId="20" dataDxfId="19">
  <tableColumns count="7">
    <tableColumn id="1" xr3:uid="{B4545FC2-4B1B-41F4-BD0A-36DA34F4E563}" name="SERVICIO" dataDxfId="18"/>
    <tableColumn id="5" xr3:uid="{848885E0-3C0E-4EFE-885A-9E6B3332F0D5}" name="TIPO DE MEDIDA" dataDxfId="17"/>
    <tableColumn id="6" xr3:uid="{1AF22CFC-1EB5-4ABF-842F-FFAEF84785D8}" name="MEDIDA DE COSTO" dataDxfId="16"/>
    <tableColumn id="9" xr3:uid="{6F716731-9558-4D76-A50C-AB4BCE128D3A}" name="CANTIDAD COMPRADA" dataDxfId="15"/>
    <tableColumn id="8" xr3:uid="{F542FE7D-24FB-4ED9-8E4D-EB016D364745}" name="MEDIDA DE USO" dataDxfId="14"/>
    <tableColumn id="7" xr3:uid="{4298E081-E2D7-4CF5-87CE-F7FB1C504E6F}" name="CANTIDAD DE USO" dataDxfId="13"/>
    <tableColumn id="2" xr3:uid="{EF5740F7-4F1C-46C8-8F26-5581F288F70A}" name="PRECIO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G3" totalsRowShown="0" headerRowDxfId="11" dataDxfId="10">
  <tableColumns count="7">
    <tableColumn id="2" xr3:uid="{CF8293A7-FCFB-462B-87C6-7ADECB3E3EC8}" name="MANO DE OBRA" dataDxfId="9"/>
    <tableColumn id="6" xr3:uid="{0995AFE9-7562-4B65-BFE2-752911DBADA5}" name="TIPO DE MEDIDA" dataDxfId="8"/>
    <tableColumn id="3" xr3:uid="{FDF6BEDD-F402-4A7C-8BF8-8F439C83287F}" name="MEDIDA DE COSTO" dataDxfId="7"/>
    <tableColumn id="4" xr3:uid="{26F46A0E-7E73-4C52-BE29-04F5CD56B892}" name="CANTIDAD COMPRADA" dataDxfId="6"/>
    <tableColumn id="1" xr3:uid="{61170B82-50AE-4ED2-BB24-A1340F4D822E}" name="MEDIDA DE USO" dataDxfId="5"/>
    <tableColumn id="5" xr3:uid="{E514F6DC-DAE1-47A7-9548-65CD146A0B26}" name="CANTIDAD DE USO" dataDxfId="4"/>
    <tableColumn id="7" xr3:uid="{F6BBE82E-1C1A-4488-A92D-8E6BE43B76F9}" name="PRECIO" dataDxfId="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6" totalsRowShown="0" headerRowDxfId="2" dataDxfId="1">
  <autoFilter ref="A1:A6" xr:uid="{C9559379-AFD8-4292-B689-A335C36E3551}"/>
  <tableColumns count="1">
    <tableColumn id="1" xr3:uid="{02001C19-3BE2-4C7C-98A6-3936C05D736A}" name="CATEGORIA" dataDxfId="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2" insertRow="1" totalsRowShown="0">
  <autoFilter ref="A1:C2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0D29-68F9-4FAF-BA9F-DF9D7E06E7EB}">
  <sheetPr codeName="Hoja1"/>
  <dimension ref="A1:C2"/>
  <sheetViews>
    <sheetView workbookViewId="0">
      <selection activeCell="C4" sqref="C4"/>
    </sheetView>
  </sheetViews>
  <sheetFormatPr baseColWidth="10" defaultRowHeight="14.4" x14ac:dyDescent="0.3"/>
  <cols>
    <col min="1" max="1" width="17.5546875" customWidth="1"/>
    <col min="2" max="2" width="9.109375" bestFit="1" customWidth="1"/>
    <col min="3" max="3" width="13.88671875" bestFit="1" customWidth="1"/>
  </cols>
  <sheetData>
    <row r="1" spans="1:3" x14ac:dyDescent="0.3">
      <c r="A1" t="s">
        <v>124</v>
      </c>
      <c r="B1" t="s">
        <v>125</v>
      </c>
      <c r="C1" t="s">
        <v>126</v>
      </c>
    </row>
    <row r="2" spans="1:3" x14ac:dyDescent="0.3">
      <c r="A2" t="s">
        <v>127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wsFormulario"/>
  <dimension ref="B1:M33"/>
  <sheetViews>
    <sheetView showGridLines="0" showRowColHeaders="0" tabSelected="1" zoomScaleNormal="100" workbookViewId="0">
      <selection activeCell="J4" sqref="J4"/>
    </sheetView>
  </sheetViews>
  <sheetFormatPr baseColWidth="10" defaultRowHeight="14.4" x14ac:dyDescent="0.3"/>
  <cols>
    <col min="1" max="1" width="3.33203125" customWidth="1"/>
    <col min="2" max="2" width="39.88671875" customWidth="1"/>
    <col min="3" max="3" width="4.33203125" customWidth="1"/>
    <col min="4" max="4" width="22.6640625" customWidth="1"/>
    <col min="5" max="5" width="17.6640625" customWidth="1"/>
    <col min="6" max="6" width="3.33203125" customWidth="1"/>
    <col min="7" max="7" width="16.88671875" customWidth="1"/>
    <col min="8" max="8" width="16.33203125" customWidth="1"/>
    <col min="9" max="9" width="3.44140625" customWidth="1"/>
    <col min="10" max="10" width="23.6640625" customWidth="1"/>
    <col min="11" max="11" width="15.88671875" customWidth="1"/>
    <col min="12" max="12" width="3" customWidth="1"/>
    <col min="13" max="13" width="24.33203125" bestFit="1" customWidth="1"/>
  </cols>
  <sheetData>
    <row r="1" spans="2:13" ht="40.950000000000003" customHeight="1" x14ac:dyDescent="0.3">
      <c r="M1" s="14"/>
    </row>
    <row r="2" spans="2:13" ht="6" customHeight="1" x14ac:dyDescent="0.3"/>
    <row r="3" spans="2:13" ht="23.4" customHeight="1" thickBot="1" x14ac:dyDescent="0.35">
      <c r="B3" s="5" t="s">
        <v>20</v>
      </c>
      <c r="C3" s="6"/>
      <c r="D3" s="15" t="s">
        <v>21</v>
      </c>
      <c r="E3" s="15" t="s">
        <v>22</v>
      </c>
      <c r="G3" s="15" t="s">
        <v>23</v>
      </c>
      <c r="H3" s="15" t="s">
        <v>22</v>
      </c>
      <c r="J3" s="15" t="s">
        <v>24</v>
      </c>
      <c r="K3" s="15" t="s">
        <v>22</v>
      </c>
      <c r="M3" s="10" t="s">
        <v>21</v>
      </c>
    </row>
    <row r="4" spans="2:13" ht="19.2" thickBot="1" x14ac:dyDescent="0.5">
      <c r="B4" s="8" t="s">
        <v>100</v>
      </c>
      <c r="C4" s="7"/>
      <c r="D4" s="20" t="s">
        <v>38</v>
      </c>
      <c r="E4" s="17">
        <v>0.8</v>
      </c>
      <c r="G4" s="20" t="s">
        <v>44</v>
      </c>
      <c r="H4" s="17">
        <v>2.1999999999999999E-2</v>
      </c>
      <c r="J4" s="20" t="s">
        <v>42</v>
      </c>
      <c r="K4" s="17">
        <v>2.5</v>
      </c>
      <c r="M4" s="12">
        <f>+TablaF_Materiales[[#Totals],[COSTO($)]]</f>
        <v>1.1949999999999998</v>
      </c>
    </row>
    <row r="5" spans="2:13" ht="17.399999999999999" x14ac:dyDescent="0.45">
      <c r="D5" s="20" t="s">
        <v>50</v>
      </c>
      <c r="E5" s="17">
        <v>7.4999999999999997E-2</v>
      </c>
      <c r="G5" s="20" t="s">
        <v>46</v>
      </c>
      <c r="H5" s="17">
        <v>1.4</v>
      </c>
      <c r="J5" s="20" t="s">
        <v>74</v>
      </c>
      <c r="K5" s="17">
        <v>5</v>
      </c>
    </row>
    <row r="6" spans="2:13" ht="25.2" customHeight="1" thickBot="1" x14ac:dyDescent="0.5">
      <c r="B6" s="5" t="s">
        <v>26</v>
      </c>
      <c r="D6" s="20" t="s">
        <v>37</v>
      </c>
      <c r="E6" s="17">
        <v>0.08</v>
      </c>
      <c r="G6" s="20"/>
      <c r="H6" s="17"/>
      <c r="J6" s="20"/>
      <c r="K6" s="17"/>
      <c r="M6" s="10" t="s">
        <v>23</v>
      </c>
    </row>
    <row r="7" spans="2:13" ht="19.95" customHeight="1" thickBot="1" x14ac:dyDescent="0.5">
      <c r="B7" s="11"/>
      <c r="D7" s="20" t="s">
        <v>122</v>
      </c>
      <c r="E7" s="17">
        <v>0.24</v>
      </c>
      <c r="G7" s="20"/>
      <c r="H7" s="17"/>
      <c r="J7" s="20"/>
      <c r="K7" s="17"/>
      <c r="M7" s="12">
        <f>+TablaF_Servicios[[#Totals],[COSTO($)]]</f>
        <v>1.4219999999999999</v>
      </c>
    </row>
    <row r="8" spans="2:13" ht="17.399999999999999" x14ac:dyDescent="0.45">
      <c r="D8" s="20"/>
      <c r="E8" s="17"/>
      <c r="G8" s="20"/>
      <c r="H8" s="17"/>
      <c r="J8" s="16"/>
      <c r="K8" s="17"/>
    </row>
    <row r="9" spans="2:13" ht="25.2" customHeight="1" thickBot="1" x14ac:dyDescent="0.5">
      <c r="B9" s="5" t="s">
        <v>27</v>
      </c>
      <c r="D9" s="20"/>
      <c r="E9" s="17"/>
      <c r="G9" s="20"/>
      <c r="H9" s="17"/>
      <c r="J9" s="16"/>
      <c r="K9" s="17"/>
      <c r="M9" s="10" t="s">
        <v>24</v>
      </c>
    </row>
    <row r="10" spans="2:13" ht="19.2" thickBot="1" x14ac:dyDescent="0.5">
      <c r="B10" s="11">
        <v>0.3</v>
      </c>
      <c r="E10" s="17"/>
      <c r="G10" s="16"/>
      <c r="H10" s="17"/>
      <c r="J10" s="16"/>
      <c r="K10" s="17"/>
      <c r="M10" s="12">
        <f>+TablaF_ManoDeObra[[#Totals],[COSTO($)]]</f>
        <v>7.5</v>
      </c>
    </row>
    <row r="11" spans="2:13" ht="17.399999999999999" x14ac:dyDescent="0.45">
      <c r="E11" s="17"/>
      <c r="G11" s="16"/>
      <c r="H11" s="17"/>
      <c r="J11" s="16"/>
      <c r="K11" s="17"/>
    </row>
    <row r="12" spans="2:13" ht="21.6" thickBot="1" x14ac:dyDescent="0.5">
      <c r="E12" s="17"/>
      <c r="G12" s="16"/>
      <c r="H12" s="17"/>
      <c r="J12" s="16"/>
      <c r="K12" s="17"/>
      <c r="M12" s="10" t="s">
        <v>29</v>
      </c>
    </row>
    <row r="13" spans="2:13" ht="19.2" thickBot="1" x14ac:dyDescent="0.5">
      <c r="B13" s="13" t="s">
        <v>100</v>
      </c>
      <c r="E13" s="17"/>
      <c r="G13" s="16"/>
      <c r="H13" s="17"/>
      <c r="J13" s="16"/>
      <c r="K13" s="17"/>
      <c r="M13" s="12">
        <f>+M4+M7+M10</f>
        <v>10.117000000000001</v>
      </c>
    </row>
    <row r="14" spans="2:13" ht="17.399999999999999" x14ac:dyDescent="0.45">
      <c r="E14" s="17"/>
      <c r="G14" s="16"/>
      <c r="H14" s="17"/>
      <c r="J14" s="16"/>
      <c r="K14" s="17"/>
    </row>
    <row r="15" spans="2:13" ht="23.4" customHeight="1" thickBot="1" x14ac:dyDescent="0.5">
      <c r="E15" s="17"/>
      <c r="G15" s="16"/>
      <c r="H15" s="17"/>
      <c r="J15" s="16"/>
      <c r="K15" s="17"/>
      <c r="M15" s="10" t="s">
        <v>30</v>
      </c>
    </row>
    <row r="16" spans="2:13" ht="29.4" customHeight="1" thickBot="1" x14ac:dyDescent="0.5">
      <c r="D16" s="16" t="s">
        <v>25</v>
      </c>
      <c r="E16" s="17">
        <f>SUBTOTAL(109,TablaF_Materiales[COSTO($)])</f>
        <v>1.1949999999999998</v>
      </c>
      <c r="G16" s="18" t="s">
        <v>25</v>
      </c>
      <c r="H16" s="19">
        <f>SUBTOTAL(109,TablaF_Servicios[COSTO($)])</f>
        <v>1.4219999999999999</v>
      </c>
      <c r="J16" s="16" t="s">
        <v>25</v>
      </c>
      <c r="K16" s="17">
        <f>SUBTOTAL(109,TablaF_ManoDeObra[COSTO($)])</f>
        <v>7.5</v>
      </c>
      <c r="M16" s="12">
        <f>M13*(1+B10)</f>
        <v>13.152100000000001</v>
      </c>
    </row>
    <row r="17" spans="2:11" ht="10.199999999999999" customHeight="1" x14ac:dyDescent="0.3"/>
    <row r="26" spans="2:11" x14ac:dyDescent="0.3">
      <c r="B26" s="22"/>
      <c r="D26" s="4"/>
    </row>
    <row r="27" spans="2:11" x14ac:dyDescent="0.3">
      <c r="B27" s="22"/>
      <c r="D27" s="4"/>
    </row>
    <row r="28" spans="2:11" x14ac:dyDescent="0.3">
      <c r="B28" s="22"/>
      <c r="D28" s="4"/>
    </row>
    <row r="29" spans="2:11" x14ac:dyDescent="0.3">
      <c r="B29" s="22"/>
      <c r="D29" s="4"/>
    </row>
    <row r="30" spans="2:11" ht="15" thickBot="1" x14ac:dyDescent="0.35"/>
    <row r="31" spans="2:11" ht="18.600000000000001" x14ac:dyDescent="0.3">
      <c r="J31" s="23" t="s">
        <v>21</v>
      </c>
      <c r="K31" s="26">
        <f>$E$16</f>
        <v>1.1949999999999998</v>
      </c>
    </row>
    <row r="32" spans="2:11" ht="18.600000000000001" x14ac:dyDescent="0.3">
      <c r="J32" s="24" t="s">
        <v>23</v>
      </c>
      <c r="K32" s="27">
        <f>$H$16</f>
        <v>1.4219999999999999</v>
      </c>
    </row>
    <row r="33" spans="10:11" ht="19.2" thickBot="1" x14ac:dyDescent="0.35">
      <c r="J33" s="25" t="s">
        <v>24</v>
      </c>
      <c r="K33" s="28">
        <f>$K$16</f>
        <v>7.5</v>
      </c>
    </row>
  </sheetData>
  <sheetProtection formatCells="0" formatColumns="0" formatRows="0" insertColumns="0" insertRows="0" insertHyperlinks="0" deleteColumns="0" deleteRows="0" sort="0" autoFilter="0" pivotTables="0"/>
  <hyperlinks>
    <hyperlink ref="D4" display="ALAMBRE" xr:uid="{1B2F241D-6C32-4C2B-B3CB-7A19096CBCA3}"/>
    <hyperlink ref="D5" display="BOLSA" xr:uid="{8712C9E1-6051-4C7D-B19E-CB6B6089963C}"/>
    <hyperlink ref="D6" display="TARJETA" xr:uid="{FF8FFA8E-FEB4-428D-B2DD-393BEA88B0BA}"/>
    <hyperlink ref="G4" display="TELÉFONO" xr:uid="{E798BF42-9529-495A-985D-DBE05B33D299}"/>
    <hyperlink ref="J4" display="ROMINA" xr:uid="{8B5BC734-4920-4973-B4F0-55D29909FEF2}"/>
    <hyperlink ref="D7" display="BALIN 3MM" xr:uid="{719F2281-3693-461D-AC9E-F7559C43965B}"/>
    <hyperlink ref="G5" display="INTERNET" xr:uid="{3A3652BE-C307-49A2-8B8F-E65FCBFA43DB}"/>
    <hyperlink ref="J5" display="PETRA" xr:uid="{255F0A0D-C8DC-46E9-9F27-F8718CACF7A7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wsFactTable"/>
  <dimension ref="A1:V61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17</v>
      </c>
      <c r="B1" t="s">
        <v>19</v>
      </c>
      <c r="C1" t="s">
        <v>18</v>
      </c>
      <c r="D1" s="1" t="s">
        <v>14</v>
      </c>
      <c r="E1" s="1" t="s">
        <v>3</v>
      </c>
      <c r="F1" s="1" t="s">
        <v>80</v>
      </c>
      <c r="G1" s="1" t="s">
        <v>5</v>
      </c>
      <c r="H1" t="s">
        <v>77</v>
      </c>
      <c r="I1" s="2" t="s">
        <v>8</v>
      </c>
      <c r="J1" s="1" t="s">
        <v>4</v>
      </c>
      <c r="K1" s="1" t="s">
        <v>6</v>
      </c>
      <c r="L1" s="1" t="s">
        <v>81</v>
      </c>
      <c r="M1" s="1" t="s">
        <v>7</v>
      </c>
      <c r="N1" t="s">
        <v>78</v>
      </c>
      <c r="O1" t="s">
        <v>13</v>
      </c>
      <c r="P1" s="1" t="s">
        <v>9</v>
      </c>
      <c r="Q1" s="1" t="s">
        <v>10</v>
      </c>
      <c r="R1" s="1" t="s">
        <v>82</v>
      </c>
      <c r="S1" s="1" t="s">
        <v>11</v>
      </c>
      <c r="T1" t="s">
        <v>79</v>
      </c>
      <c r="U1" t="s">
        <v>12</v>
      </c>
      <c r="V1" t="s">
        <v>16</v>
      </c>
    </row>
    <row r="2" spans="1:22" x14ac:dyDescent="0.3">
      <c r="A2" t="s">
        <v>39</v>
      </c>
      <c r="B2" t="s">
        <v>47</v>
      </c>
      <c r="C2" t="s">
        <v>0</v>
      </c>
      <c r="D2" t="s">
        <v>40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39</v>
      </c>
      <c r="B3" t="s">
        <v>47</v>
      </c>
      <c r="C3" t="s">
        <v>0</v>
      </c>
      <c r="D3" t="s">
        <v>38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39</v>
      </c>
      <c r="B4" t="s">
        <v>47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46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39</v>
      </c>
      <c r="B5" t="s">
        <v>47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41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39</v>
      </c>
      <c r="B6" t="s">
        <v>47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42</v>
      </c>
      <c r="U6" s="3">
        <v>0.37</v>
      </c>
    </row>
    <row r="7" spans="1:22" x14ac:dyDescent="0.3">
      <c r="A7" t="s">
        <v>39</v>
      </c>
      <c r="B7" t="s">
        <v>47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45</v>
      </c>
      <c r="B8" t="s">
        <v>43</v>
      </c>
      <c r="C8" t="s">
        <v>0</v>
      </c>
      <c r="D8" t="s">
        <v>36</v>
      </c>
      <c r="I8" s="3">
        <v>0.2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45</v>
      </c>
      <c r="B9" t="s">
        <v>43</v>
      </c>
      <c r="C9" t="s">
        <v>0</v>
      </c>
      <c r="D9" t="s">
        <v>38</v>
      </c>
      <c r="I9" s="3">
        <v>0.113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45</v>
      </c>
      <c r="B10" t="s">
        <v>43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46</v>
      </c>
      <c r="O10">
        <v>0.5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45</v>
      </c>
      <c r="B11" t="s">
        <v>43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41</v>
      </c>
      <c r="O11">
        <v>8.8999999999999996E-2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45</v>
      </c>
      <c r="B12" t="s">
        <v>43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42</v>
      </c>
      <c r="U12" s="3">
        <v>0.89</v>
      </c>
    </row>
    <row r="13" spans="1:22" x14ac:dyDescent="0.3">
      <c r="A13" t="s">
        <v>45</v>
      </c>
      <c r="B13" t="s">
        <v>43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0.52</v>
      </c>
    </row>
    <row r="14" spans="1:22" x14ac:dyDescent="0.3">
      <c r="A14" t="s">
        <v>32</v>
      </c>
      <c r="B14" t="s">
        <v>43</v>
      </c>
      <c r="C14" t="s">
        <v>0</v>
      </c>
      <c r="D14" t="s">
        <v>38</v>
      </c>
      <c r="I14" s="3">
        <v>0.113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32</v>
      </c>
      <c r="B15" t="s">
        <v>43</v>
      </c>
      <c r="C15" t="s">
        <v>0</v>
      </c>
      <c r="D15" t="s">
        <v>37</v>
      </c>
      <c r="I15" s="3">
        <v>0.23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32</v>
      </c>
      <c r="B16" t="s">
        <v>43</v>
      </c>
      <c r="C16" t="s">
        <v>0</v>
      </c>
      <c r="D16" t="s">
        <v>40</v>
      </c>
      <c r="I16" s="3">
        <v>0.3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32</v>
      </c>
      <c r="B17" t="s">
        <v>43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46</v>
      </c>
      <c r="O17">
        <v>5.25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32</v>
      </c>
      <c r="B18" t="s">
        <v>43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44</v>
      </c>
      <c r="O18">
        <v>2E-3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32</v>
      </c>
      <c r="B19" t="s">
        <v>43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41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32</v>
      </c>
      <c r="B20" t="s">
        <v>43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42</v>
      </c>
      <c r="U20" s="3">
        <v>75</v>
      </c>
    </row>
    <row r="21" spans="1:22" x14ac:dyDescent="0.3">
      <c r="A21" t="s">
        <v>32</v>
      </c>
      <c r="B21" t="s">
        <v>43</v>
      </c>
      <c r="C21" t="s">
        <v>2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P21" t="s">
        <v>74</v>
      </c>
      <c r="U21" s="3">
        <v>5.7140000000000004</v>
      </c>
    </row>
    <row r="22" spans="1:22" x14ac:dyDescent="0.3">
      <c r="A22" t="s">
        <v>32</v>
      </c>
      <c r="B22" t="s">
        <v>43</v>
      </c>
      <c r="C22" t="s">
        <v>15</v>
      </c>
      <c r="I22" s="3">
        <f>IFERROR(FactTable[[#This Row],[cantidadUsadaMaterial]]*FactTable[[#This Row],[costoMaterial$]]/FactTable[[#This Row],[unidadUsadaMaterial]],0)</f>
        <v>0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  <c r="V22">
        <v>0.51</v>
      </c>
    </row>
    <row r="23" spans="1:22" x14ac:dyDescent="0.3">
      <c r="A23" t="s">
        <v>31</v>
      </c>
      <c r="B23" t="s">
        <v>51</v>
      </c>
      <c r="C23" t="s">
        <v>0</v>
      </c>
      <c r="D23" t="s">
        <v>38</v>
      </c>
      <c r="I23" s="3">
        <v>0.04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31</v>
      </c>
      <c r="B24" t="s">
        <v>51</v>
      </c>
      <c r="C24" t="s">
        <v>0</v>
      </c>
      <c r="D24" t="s">
        <v>48</v>
      </c>
      <c r="I24" s="3">
        <v>0.2</v>
      </c>
      <c r="O24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31</v>
      </c>
      <c r="B25" t="s">
        <v>51</v>
      </c>
      <c r="C25" t="s">
        <v>0</v>
      </c>
      <c r="D25" t="s">
        <v>50</v>
      </c>
      <c r="I25" s="3">
        <v>0.01</v>
      </c>
      <c r="O25">
        <f>IFERROR(FactTable[[#This Row],[cantidadUsadaServicio]]*FactTable[[#This Row],[costoServicio$]]/FactTable[[#This Row],[unidadUsadaServicio]],0)</f>
        <v>0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31</v>
      </c>
      <c r="B26" t="s">
        <v>51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46</v>
      </c>
      <c r="O26">
        <v>0.03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31</v>
      </c>
      <c r="B27" t="s">
        <v>51</v>
      </c>
      <c r="C27" t="s">
        <v>1</v>
      </c>
      <c r="I27" s="3">
        <f>IFERROR(FactTable[[#This Row],[cantidadUsadaMaterial]]*FactTable[[#This Row],[costoMaterial$]]/FactTable[[#This Row],[unidadUsadaMaterial]],0)</f>
        <v>0</v>
      </c>
      <c r="J27" t="s">
        <v>44</v>
      </c>
      <c r="O27">
        <v>0.08</v>
      </c>
      <c r="U27" s="3">
        <f>IFERROR(FactTable[[#This Row],[cantidadUsadaManoObra]]*FactTable[[#This Row],[costoManoObra$]]/FactTable[[#This Row],[unidadUsadaManoObra]],0)</f>
        <v>0</v>
      </c>
    </row>
    <row r="28" spans="1:22" x14ac:dyDescent="0.3">
      <c r="A28" t="s">
        <v>31</v>
      </c>
      <c r="B28" t="s">
        <v>51</v>
      </c>
      <c r="C28" t="s">
        <v>1</v>
      </c>
      <c r="I28" s="3">
        <f>IFERROR(FactTable[[#This Row],[cantidadUsadaMaterial]]*FactTable[[#This Row],[costoMaterial$]]/FactTable[[#This Row],[unidadUsadaMaterial]],0)</f>
        <v>0</v>
      </c>
      <c r="J28" t="s">
        <v>41</v>
      </c>
      <c r="O28">
        <v>8.8999999999999996E-2</v>
      </c>
      <c r="U28" s="3">
        <f>IFERROR(FactTable[[#This Row],[cantidadUsadaManoObra]]*FactTable[[#This Row],[costoManoObra$]]/FactTable[[#This Row],[unidadUsadaManoObra]],0)</f>
        <v>0</v>
      </c>
    </row>
    <row r="29" spans="1:22" x14ac:dyDescent="0.3">
      <c r="A29" t="s">
        <v>31</v>
      </c>
      <c r="B29" t="s">
        <v>51</v>
      </c>
      <c r="C29" t="s">
        <v>2</v>
      </c>
      <c r="I29" s="3">
        <f>IFERROR(FactTable[[#This Row],[cantidadUsadaMaterial]]*FactTable[[#This Row],[costoMaterial$]]/FactTable[[#This Row],[unidadUsadaMaterial]],0)</f>
        <v>0</v>
      </c>
      <c r="O29">
        <f>IFERROR(FactTable[[#This Row],[cantidadUsadaServicio]]*FactTable[[#This Row],[costoServicio$]]/FactTable[[#This Row],[unidadUsadaServicio]],0)</f>
        <v>0</v>
      </c>
      <c r="P29" t="s">
        <v>42</v>
      </c>
      <c r="U29" s="3">
        <v>0.37</v>
      </c>
    </row>
    <row r="30" spans="1:22" x14ac:dyDescent="0.3">
      <c r="A30" t="s">
        <v>31</v>
      </c>
      <c r="B30" t="s">
        <v>51</v>
      </c>
      <c r="C30" t="s">
        <v>15</v>
      </c>
      <c r="I30" s="3">
        <f>IFERROR(FactTable[[#This Row],[cantidadUsadaMaterial]]*FactTable[[#This Row],[costoMaterial$]]/FactTable[[#This Row],[unidadUsadaMaterial]],0)</f>
        <v>0</v>
      </c>
      <c r="O30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  <c r="V30">
        <v>0.3</v>
      </c>
    </row>
    <row r="31" spans="1:22" x14ac:dyDescent="0.3">
      <c r="A31" t="s">
        <v>101</v>
      </c>
      <c r="B31" t="s">
        <v>43</v>
      </c>
      <c r="C31" t="s">
        <v>0</v>
      </c>
      <c r="D31" t="s">
        <v>38</v>
      </c>
      <c r="I31" s="3">
        <v>0.111</v>
      </c>
      <c r="O31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101</v>
      </c>
      <c r="B32" t="s">
        <v>43</v>
      </c>
      <c r="C32" t="s">
        <v>0</v>
      </c>
      <c r="D32" t="s">
        <v>102</v>
      </c>
      <c r="I32" s="3">
        <v>0.157</v>
      </c>
      <c r="O32">
        <f>IFERROR(FactTable[[#This Row],[cantidadUsadaServicio]]*FactTable[[#This Row],[costoServicio$]]/FactTable[[#This Row],[unidadUsadaServicio]],0)</f>
        <v>0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101</v>
      </c>
      <c r="B33" t="s">
        <v>43</v>
      </c>
      <c r="C33" t="s">
        <v>0</v>
      </c>
      <c r="D33" t="s">
        <v>50</v>
      </c>
      <c r="I33" s="3">
        <v>1.4999999999999999E-2</v>
      </c>
      <c r="O33">
        <f>IFERROR(FactTable[[#This Row],[cantidadUsadaServicio]]*FactTable[[#This Row],[costoServicio$]]/FactTable[[#This Row],[unidadUsadaServicio]],0)</f>
        <v>0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101</v>
      </c>
      <c r="B34" t="s">
        <v>43</v>
      </c>
      <c r="C34" t="s">
        <v>0</v>
      </c>
      <c r="D34" t="s">
        <v>37</v>
      </c>
      <c r="I34" s="3">
        <v>0.06</v>
      </c>
      <c r="O34">
        <f>IFERROR(FactTable[[#This Row],[cantidadUsadaServicio]]*FactTable[[#This Row],[costoServicio$]]/FactTable[[#This Row],[unidadUsadaServicio]],0)</f>
        <v>0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101</v>
      </c>
      <c r="B35" t="s">
        <v>43</v>
      </c>
      <c r="C35" t="s">
        <v>1</v>
      </c>
      <c r="I35" s="3">
        <f>IFERROR(FactTable[[#This Row],[cantidadUsadaMaterial]]*FactTable[[#This Row],[costoMaterial$]]/FactTable[[#This Row],[unidadUsadaMaterial]],0)</f>
        <v>0</v>
      </c>
      <c r="J35" t="s">
        <v>103</v>
      </c>
      <c r="O35">
        <v>0.501</v>
      </c>
      <c r="U35" s="3">
        <f>IFERROR(FactTable[[#This Row],[cantidadUsadaManoObra]]*FactTable[[#This Row],[costoManoObra$]]/FactTable[[#This Row],[unidadUsadaManoObra]],0)</f>
        <v>0</v>
      </c>
    </row>
    <row r="36" spans="1:22" x14ac:dyDescent="0.3">
      <c r="A36" t="s">
        <v>101</v>
      </c>
      <c r="B36" t="s">
        <v>43</v>
      </c>
      <c r="C36" t="s">
        <v>1</v>
      </c>
      <c r="I36" s="3">
        <f>IFERROR(FactTable[[#This Row],[cantidadUsadaMaterial]]*FactTable[[#This Row],[costoMaterial$]]/FactTable[[#This Row],[unidadUsadaMaterial]],0)</f>
        <v>0</v>
      </c>
      <c r="J36" t="s">
        <v>41</v>
      </c>
      <c r="O36">
        <v>8.8999999999999996E-2</v>
      </c>
      <c r="U36" s="3">
        <f>IFERROR(FactTable[[#This Row],[cantidadUsadaManoObra]]*FactTable[[#This Row],[costoManoObra$]]/FactTable[[#This Row],[unidadUsadaManoObra]],0)</f>
        <v>0</v>
      </c>
    </row>
    <row r="37" spans="1:22" x14ac:dyDescent="0.3">
      <c r="A37" t="s">
        <v>101</v>
      </c>
      <c r="B37" t="s">
        <v>43</v>
      </c>
      <c r="C37" t="s">
        <v>1</v>
      </c>
      <c r="I37" s="3">
        <f>IFERROR(FactTable[[#This Row],[cantidadUsadaMaterial]]*FactTable[[#This Row],[costoMaterial$]]/FactTable[[#This Row],[unidadUsadaMaterial]],0)</f>
        <v>0</v>
      </c>
      <c r="J37" t="s">
        <v>46</v>
      </c>
      <c r="O37">
        <v>1.7000000000000001E-2</v>
      </c>
      <c r="U37" s="3">
        <f>IFERROR(FactTable[[#This Row],[cantidadUsadaManoObra]]*FactTable[[#This Row],[costoManoObra$]]/FactTable[[#This Row],[unidadUsadaManoObra]],0)</f>
        <v>0</v>
      </c>
    </row>
    <row r="38" spans="1:22" x14ac:dyDescent="0.3">
      <c r="A38" t="s">
        <v>101</v>
      </c>
      <c r="B38" t="s">
        <v>43</v>
      </c>
      <c r="C38" t="s">
        <v>1</v>
      </c>
      <c r="I38" s="3">
        <f>IFERROR(FactTable[[#This Row],[cantidadUsadaMaterial]]*FactTable[[#This Row],[costoMaterial$]]/FactTable[[#This Row],[unidadUsadaMaterial]],0)</f>
        <v>0</v>
      </c>
      <c r="J38" t="s">
        <v>44</v>
      </c>
      <c r="O38">
        <v>5.0000000000000001E-3</v>
      </c>
      <c r="U38" s="3">
        <f>IFERROR(FactTable[[#This Row],[cantidadUsadaManoObra]]*FactTable[[#This Row],[costoManoObra$]]/FactTable[[#This Row],[unidadUsadaManoObra]],0)</f>
        <v>0</v>
      </c>
    </row>
    <row r="39" spans="1:22" x14ac:dyDescent="0.3">
      <c r="A39" t="s">
        <v>101</v>
      </c>
      <c r="B39" t="s">
        <v>43</v>
      </c>
      <c r="C39" t="s">
        <v>2</v>
      </c>
      <c r="I39" s="3">
        <f>IFERROR(FactTable[[#This Row],[cantidadUsadaMaterial]]*FactTable[[#This Row],[costoMaterial$]]/FactTable[[#This Row],[unidadUsadaMaterial]],0)</f>
        <v>0</v>
      </c>
      <c r="O39">
        <f>IFERROR(FactTable[[#This Row],[cantidadUsadaServicio]]*FactTable[[#This Row],[costoServicio$]]/FactTable[[#This Row],[unidadUsadaServicio]],0)</f>
        <v>0</v>
      </c>
      <c r="P39" t="s">
        <v>42</v>
      </c>
      <c r="U39" s="3">
        <v>0.875</v>
      </c>
    </row>
    <row r="40" spans="1:22" x14ac:dyDescent="0.3">
      <c r="A40" t="s">
        <v>101</v>
      </c>
      <c r="B40" t="s">
        <v>43</v>
      </c>
      <c r="C40" t="s">
        <v>15</v>
      </c>
      <c r="I40" s="3">
        <f>IFERROR(FactTable[[#This Row],[cantidadUsadaMaterial]]*FactTable[[#This Row],[costoMaterial$]]/FactTable[[#This Row],[unidadUsadaMaterial]],0)</f>
        <v>0</v>
      </c>
      <c r="O40">
        <f>IFERROR(FactTable[[#This Row],[cantidadUsadaServicio]]*FactTable[[#This Row],[costoServicio$]]/FactTable[[#This Row],[unidadUsadaServicio]],0)</f>
        <v>0</v>
      </c>
      <c r="U40" s="3">
        <f>IFERROR(FactTable[[#This Row],[cantidadUsadaManoObra]]*FactTable[[#This Row],[costoManoObra$]]/FactTable[[#This Row],[unidadUsadaManoObra]],0)</f>
        <v>0</v>
      </c>
      <c r="V40">
        <v>0.5</v>
      </c>
    </row>
    <row r="41" spans="1:22" x14ac:dyDescent="0.3">
      <c r="A41" t="s">
        <v>109</v>
      </c>
      <c r="B41" t="s">
        <v>51</v>
      </c>
      <c r="C41" t="s">
        <v>0</v>
      </c>
      <c r="D41" t="s">
        <v>104</v>
      </c>
      <c r="I41" s="3">
        <v>0.3</v>
      </c>
      <c r="O41">
        <f>IFERROR(FactTable[[#This Row],[cantidadUsadaServicio]]*FactTable[[#This Row],[costoServicio$]]/FactTable[[#This Row],[unidadUsadaServicio]],0)</f>
        <v>0</v>
      </c>
      <c r="U41" s="3">
        <f>IFERROR(FactTable[[#This Row],[cantidadUsadaManoObra]]*FactTable[[#This Row],[costoManoObra$]]/FactTable[[#This Row],[unidadUsadaManoObra]],0)</f>
        <v>0</v>
      </c>
    </row>
    <row r="42" spans="1:22" x14ac:dyDescent="0.3">
      <c r="A42" t="s">
        <v>109</v>
      </c>
      <c r="B42" t="s">
        <v>51</v>
      </c>
      <c r="C42" t="s">
        <v>0</v>
      </c>
      <c r="D42" t="s">
        <v>107</v>
      </c>
      <c r="I42" s="3">
        <v>0.16200000000000001</v>
      </c>
      <c r="O42">
        <f>IFERROR(FactTable[[#This Row],[cantidadUsadaServicio]]*FactTable[[#This Row],[costoServicio$]]/FactTable[[#This Row],[unidadUsadaServicio]],0)</f>
        <v>0</v>
      </c>
      <c r="U42" s="3">
        <f>IFERROR(FactTable[[#This Row],[cantidadUsadaManoObra]]*FactTable[[#This Row],[costoManoObra$]]/FactTable[[#This Row],[unidadUsadaManoObra]],0)</f>
        <v>0</v>
      </c>
    </row>
    <row r="43" spans="1:22" x14ac:dyDescent="0.3">
      <c r="A43" t="s">
        <v>109</v>
      </c>
      <c r="B43" t="s">
        <v>51</v>
      </c>
      <c r="C43" t="s">
        <v>0</v>
      </c>
      <c r="D43" t="s">
        <v>108</v>
      </c>
      <c r="I43" s="3">
        <v>6.5000000000000002E-2</v>
      </c>
      <c r="O43">
        <f>IFERROR(FactTable[[#This Row],[cantidadUsadaServicio]]*FactTable[[#This Row],[costoServicio$]]/FactTable[[#This Row],[unidadUsadaServicio]],0)</f>
        <v>0</v>
      </c>
      <c r="U43" s="3">
        <f>IFERROR(FactTable[[#This Row],[cantidadUsadaManoObra]]*FactTable[[#This Row],[costoManoObra$]]/FactTable[[#This Row],[unidadUsadaManoObra]],0)</f>
        <v>0</v>
      </c>
    </row>
    <row r="44" spans="1:22" x14ac:dyDescent="0.3">
      <c r="A44" t="s">
        <v>109</v>
      </c>
      <c r="B44" t="s">
        <v>51</v>
      </c>
      <c r="C44" t="s">
        <v>0</v>
      </c>
      <c r="D44" t="s">
        <v>102</v>
      </c>
      <c r="I44" s="3">
        <v>0.214</v>
      </c>
      <c r="O44">
        <f>IFERROR(FactTable[[#This Row],[cantidadUsadaServicio]]*FactTable[[#This Row],[costoServicio$]]/FactTable[[#This Row],[unidadUsadaServicio]],0)</f>
        <v>0</v>
      </c>
      <c r="U44" s="3">
        <f>IFERROR(FactTable[[#This Row],[cantidadUsadaManoObra]]*FactTable[[#This Row],[costoManoObra$]]/FactTable[[#This Row],[unidadUsadaManoObra]],0)</f>
        <v>0</v>
      </c>
    </row>
    <row r="45" spans="1:22" x14ac:dyDescent="0.3">
      <c r="A45" t="s">
        <v>109</v>
      </c>
      <c r="B45" t="s">
        <v>51</v>
      </c>
      <c r="C45" t="s">
        <v>0</v>
      </c>
      <c r="D45" t="s">
        <v>50</v>
      </c>
      <c r="I45" s="3">
        <v>1.2999999999999999E-2</v>
      </c>
      <c r="O45">
        <f>IFERROR(FactTable[[#This Row],[cantidadUsadaServicio]]*FactTable[[#This Row],[costoServicio$]]/FactTable[[#This Row],[unidadUsadaServicio]],0)</f>
        <v>0</v>
      </c>
      <c r="U45" s="3">
        <f>IFERROR(FactTable[[#This Row],[cantidadUsadaManoObra]]*FactTable[[#This Row],[costoManoObra$]]/FactTable[[#This Row],[unidadUsadaManoObra]],0)</f>
        <v>0</v>
      </c>
    </row>
    <row r="46" spans="1:22" x14ac:dyDescent="0.3">
      <c r="A46" t="s">
        <v>109</v>
      </c>
      <c r="B46" t="s">
        <v>51</v>
      </c>
      <c r="C46" t="s">
        <v>0</v>
      </c>
      <c r="D46" t="s">
        <v>37</v>
      </c>
      <c r="I46" s="3">
        <v>0.06</v>
      </c>
      <c r="O46">
        <f>IFERROR(FactTable[[#This Row],[cantidadUsadaServicio]]*FactTable[[#This Row],[costoServicio$]]/FactTable[[#This Row],[unidadUsadaServicio]],0)</f>
        <v>0</v>
      </c>
      <c r="U46" s="3">
        <f>IFERROR(FactTable[[#This Row],[cantidadUsadaManoObra]]*FactTable[[#This Row],[costoManoObra$]]/FactTable[[#This Row],[unidadUsadaManoObra]],0)</f>
        <v>0</v>
      </c>
    </row>
    <row r="47" spans="1:22" x14ac:dyDescent="0.3">
      <c r="A47" t="s">
        <v>109</v>
      </c>
      <c r="B47" t="s">
        <v>51</v>
      </c>
      <c r="C47" t="s">
        <v>1</v>
      </c>
      <c r="I47" s="3">
        <f>IFERROR(FactTable[[#This Row],[cantidadUsadaMaterial]]*FactTable[[#This Row],[costoMaterial$]]/FactTable[[#This Row],[unidadUsadaMaterial]],0)</f>
        <v>0</v>
      </c>
      <c r="J47" t="s">
        <v>41</v>
      </c>
      <c r="O47">
        <v>8.8999999999999996E-2</v>
      </c>
      <c r="U47" s="3">
        <f>IFERROR(FactTable[[#This Row],[cantidadUsadaManoObra]]*FactTable[[#This Row],[costoManoObra$]]/FactTable[[#This Row],[unidadUsadaManoObra]],0)</f>
        <v>0</v>
      </c>
    </row>
    <row r="48" spans="1:22" x14ac:dyDescent="0.3">
      <c r="A48" t="s">
        <v>109</v>
      </c>
      <c r="B48" t="s">
        <v>51</v>
      </c>
      <c r="C48" t="s">
        <v>1</v>
      </c>
      <c r="I48" s="3">
        <f>IFERROR(FactTable[[#This Row],[cantidadUsadaMaterial]]*FactTable[[#This Row],[costoMaterial$]]/FactTable[[#This Row],[unidadUsadaMaterial]],0)</f>
        <v>0</v>
      </c>
      <c r="J48" t="s">
        <v>46</v>
      </c>
      <c r="O48">
        <v>1.7000000000000001E-2</v>
      </c>
      <c r="U48" s="3">
        <f>IFERROR(FactTable[[#This Row],[cantidadUsadaManoObra]]*FactTable[[#This Row],[costoManoObra$]]/FactTable[[#This Row],[unidadUsadaManoObra]],0)</f>
        <v>0</v>
      </c>
    </row>
    <row r="49" spans="1:22" x14ac:dyDescent="0.3">
      <c r="A49" t="s">
        <v>109</v>
      </c>
      <c r="B49" t="s">
        <v>51</v>
      </c>
      <c r="C49" t="s">
        <v>1</v>
      </c>
      <c r="I49" s="3">
        <f>IFERROR(FactTable[[#This Row],[cantidadUsadaMaterial]]*FactTable[[#This Row],[costoMaterial$]]/FactTable[[#This Row],[unidadUsadaMaterial]],0)</f>
        <v>0</v>
      </c>
      <c r="J49" t="s">
        <v>44</v>
      </c>
      <c r="O49">
        <v>5.0000000000000001E-3</v>
      </c>
      <c r="U49" s="3">
        <f>IFERROR(FactTable[[#This Row],[cantidadUsadaManoObra]]*FactTable[[#This Row],[costoManoObra$]]/FactTable[[#This Row],[unidadUsadaManoObra]],0)</f>
        <v>0</v>
      </c>
    </row>
    <row r="50" spans="1:22" x14ac:dyDescent="0.3">
      <c r="A50" t="s">
        <v>109</v>
      </c>
      <c r="B50" t="s">
        <v>51</v>
      </c>
      <c r="C50" t="s">
        <v>1</v>
      </c>
      <c r="I50" s="3">
        <f>IFERROR(FactTable[[#This Row],[cantidadUsadaMaterial]]*FactTable[[#This Row],[costoMaterial$]]/FactTable[[#This Row],[unidadUsadaMaterial]],0)</f>
        <v>0</v>
      </c>
      <c r="J50" t="s">
        <v>103</v>
      </c>
      <c r="U50" s="3">
        <f>IFERROR(FactTable[[#This Row],[cantidadUsadaManoObra]]*FactTable[[#This Row],[costoManoObra$]]/FactTable[[#This Row],[unidadUsadaManoObra]],0)</f>
        <v>0</v>
      </c>
    </row>
    <row r="51" spans="1:22" x14ac:dyDescent="0.3">
      <c r="A51" t="s">
        <v>109</v>
      </c>
      <c r="B51" t="s">
        <v>51</v>
      </c>
      <c r="C51" t="s">
        <v>2</v>
      </c>
      <c r="I51" s="3">
        <f>IFERROR(FactTable[[#This Row],[cantidadUsadaMaterial]]*FactTable[[#This Row],[costoMaterial$]]/FactTable[[#This Row],[unidadUsadaMaterial]],0)</f>
        <v>0</v>
      </c>
      <c r="O51">
        <f>IFERROR(FactTable[[#This Row],[cantidadUsadaServicio]]*FactTable[[#This Row],[costoServicio$]]/FactTable[[#This Row],[unidadUsadaServicio]],0)</f>
        <v>0</v>
      </c>
      <c r="P51" t="s">
        <v>42</v>
      </c>
      <c r="U51" s="3">
        <v>1.56</v>
      </c>
    </row>
    <row r="52" spans="1:22" x14ac:dyDescent="0.3">
      <c r="A52" t="s">
        <v>109</v>
      </c>
      <c r="B52" t="s">
        <v>51</v>
      </c>
      <c r="C52" t="s">
        <v>15</v>
      </c>
      <c r="I52" s="3">
        <f>IFERROR(FactTable[[#This Row],[cantidadUsadaMaterial]]*FactTable[[#This Row],[costoMaterial$]]/FactTable[[#This Row],[unidadUsadaMaterial]],0)</f>
        <v>0</v>
      </c>
      <c r="O52">
        <f>IFERROR(FactTable[[#This Row],[cantidadUsadaServicio]]*FactTable[[#This Row],[costoServicio$]]/FactTable[[#This Row],[unidadUsadaServicio]],0)</f>
        <v>0</v>
      </c>
      <c r="U52" s="3">
        <f>IFERROR(FactTable[[#This Row],[cantidadUsadaManoObra]]*FactTable[[#This Row],[costoManoObra$]]/FactTable[[#This Row],[unidadUsadaManoObra]],0)</f>
        <v>0</v>
      </c>
      <c r="V52">
        <v>0.5</v>
      </c>
    </row>
    <row r="53" spans="1:22" x14ac:dyDescent="0.3">
      <c r="A53" t="s">
        <v>100</v>
      </c>
      <c r="B53" t="s">
        <v>43</v>
      </c>
      <c r="C53" t="s">
        <v>0</v>
      </c>
      <c r="D53" t="s">
        <v>38</v>
      </c>
      <c r="I53" s="3">
        <v>0.8</v>
      </c>
      <c r="O53">
        <f>IFERROR(FactTable[[#This Row],[cantidadUsadaServicio]]*FactTable[[#This Row],[costoServicio$]]/FactTable[[#This Row],[unidadUsadaServicio]],0)</f>
        <v>0</v>
      </c>
      <c r="U53" s="3">
        <f>IFERROR(FactTable[[#This Row],[cantidadUsadaManoObra]]*FactTable[[#This Row],[costoManoObra$]]/FactTable[[#This Row],[unidadUsadaManoObra]],0)</f>
        <v>0</v>
      </c>
    </row>
    <row r="54" spans="1:22" x14ac:dyDescent="0.3">
      <c r="A54" t="s">
        <v>100</v>
      </c>
      <c r="B54" t="s">
        <v>43</v>
      </c>
      <c r="C54" t="s">
        <v>0</v>
      </c>
      <c r="D54" t="s">
        <v>50</v>
      </c>
      <c r="I54" s="3">
        <v>7.4999999999999997E-2</v>
      </c>
      <c r="O54">
        <f>IFERROR(FactTable[[#This Row],[cantidadUsadaServicio]]*FactTable[[#This Row],[costoServicio$]]/FactTable[[#This Row],[unidadUsadaServicio]],0)</f>
        <v>0</v>
      </c>
      <c r="U54" s="3">
        <f>IFERROR(FactTable[[#This Row],[cantidadUsadaManoObra]]*FactTable[[#This Row],[costoManoObra$]]/FactTable[[#This Row],[unidadUsadaManoObra]],0)</f>
        <v>0</v>
      </c>
    </row>
    <row r="55" spans="1:22" x14ac:dyDescent="0.3">
      <c r="A55" t="s">
        <v>100</v>
      </c>
      <c r="B55" t="s">
        <v>43</v>
      </c>
      <c r="C55" t="s">
        <v>0</v>
      </c>
      <c r="D55" t="s">
        <v>37</v>
      </c>
      <c r="I55" s="3">
        <v>0.08</v>
      </c>
      <c r="O55">
        <f>IFERROR(FactTable[[#This Row],[cantidadUsadaServicio]]*FactTable[[#This Row],[costoServicio$]]/FactTable[[#This Row],[unidadUsadaServicio]],0)</f>
        <v>0</v>
      </c>
      <c r="U55" s="3">
        <f>IFERROR(FactTable[[#This Row],[cantidadUsadaManoObra]]*FactTable[[#This Row],[costoManoObra$]]/FactTable[[#This Row],[unidadUsadaManoObra]],0)</f>
        <v>0</v>
      </c>
    </row>
    <row r="56" spans="1:22" x14ac:dyDescent="0.3">
      <c r="A56" t="s">
        <v>100</v>
      </c>
      <c r="B56" t="s">
        <v>43</v>
      </c>
      <c r="C56" t="s">
        <v>0</v>
      </c>
      <c r="D56" t="s">
        <v>122</v>
      </c>
      <c r="I56" s="3">
        <v>0.24</v>
      </c>
      <c r="O56">
        <f>IFERROR(FactTable[[#This Row],[cantidadUsadaServicio]]*FactTable[[#This Row],[costoServicio$]]/FactTable[[#This Row],[unidadUsadaServicio]],0)</f>
        <v>0</v>
      </c>
      <c r="U56" s="3">
        <f>IFERROR(FactTable[[#This Row],[cantidadUsadaManoObra]]*FactTable[[#This Row],[costoManoObra$]]/FactTable[[#This Row],[unidadUsadaManoObra]],0)</f>
        <v>0</v>
      </c>
    </row>
    <row r="57" spans="1:22" x14ac:dyDescent="0.3">
      <c r="A57" t="s">
        <v>100</v>
      </c>
      <c r="B57" t="s">
        <v>43</v>
      </c>
      <c r="C57" t="s">
        <v>1</v>
      </c>
      <c r="I57" s="3">
        <f>IFERROR(FactTable[[#This Row],[cantidadUsadaMaterial]]*FactTable[[#This Row],[costoMaterial$]]/FactTable[[#This Row],[unidadUsadaMaterial]],0)</f>
        <v>0</v>
      </c>
      <c r="J57" t="s">
        <v>44</v>
      </c>
      <c r="O57">
        <v>2.1999999999999999E-2</v>
      </c>
      <c r="U57" s="3">
        <f>IFERROR(FactTable[[#This Row],[cantidadUsadaManoObra]]*FactTable[[#This Row],[costoManoObra$]]/FactTable[[#This Row],[unidadUsadaManoObra]],0)</f>
        <v>0</v>
      </c>
    </row>
    <row r="58" spans="1:22" x14ac:dyDescent="0.3">
      <c r="A58" t="s">
        <v>100</v>
      </c>
      <c r="B58" t="s">
        <v>43</v>
      </c>
      <c r="C58" t="s">
        <v>1</v>
      </c>
      <c r="I58" s="3">
        <f>IFERROR(FactTable[[#This Row],[cantidadUsadaMaterial]]*FactTable[[#This Row],[costoMaterial$]]/FactTable[[#This Row],[unidadUsadaMaterial]],0)</f>
        <v>0</v>
      </c>
      <c r="J58" t="s">
        <v>46</v>
      </c>
      <c r="O58">
        <v>1.4</v>
      </c>
      <c r="U58" s="3">
        <f>IFERROR(FactTable[[#This Row],[cantidadUsadaManoObra]]*FactTable[[#This Row],[costoManoObra$]]/FactTable[[#This Row],[unidadUsadaManoObra]],0)</f>
        <v>0</v>
      </c>
    </row>
    <row r="59" spans="1:22" x14ac:dyDescent="0.3">
      <c r="A59" t="s">
        <v>100</v>
      </c>
      <c r="B59" t="s">
        <v>43</v>
      </c>
      <c r="C59" t="s">
        <v>2</v>
      </c>
      <c r="I59" s="3">
        <f>IFERROR(FactTable[[#This Row],[cantidadUsadaMaterial]]*FactTable[[#This Row],[costoMaterial$]]/FactTable[[#This Row],[unidadUsadaMaterial]],0)</f>
        <v>0</v>
      </c>
      <c r="O59">
        <f>IFERROR(FactTable[[#This Row],[cantidadUsadaServicio]]*FactTable[[#This Row],[costoServicio$]]/FactTable[[#This Row],[unidadUsadaServicio]],0)</f>
        <v>0</v>
      </c>
      <c r="P59" t="s">
        <v>42</v>
      </c>
      <c r="U59" s="3">
        <v>2.5</v>
      </c>
    </row>
    <row r="60" spans="1:22" x14ac:dyDescent="0.3">
      <c r="A60" t="s">
        <v>100</v>
      </c>
      <c r="B60" t="s">
        <v>43</v>
      </c>
      <c r="C60" t="s">
        <v>2</v>
      </c>
      <c r="I60" s="3">
        <f>IFERROR(FactTable[[#This Row],[cantidadUsadaMaterial]]*FactTable[[#This Row],[costoMaterial$]]/FactTable[[#This Row],[unidadUsadaMaterial]],0)</f>
        <v>0</v>
      </c>
      <c r="O60">
        <f>IFERROR(FactTable[[#This Row],[cantidadUsadaServicio]]*FactTable[[#This Row],[costoServicio$]]/FactTable[[#This Row],[unidadUsadaServicio]],0)</f>
        <v>0</v>
      </c>
      <c r="P60" t="s">
        <v>74</v>
      </c>
      <c r="U60" s="3">
        <v>5</v>
      </c>
    </row>
    <row r="61" spans="1:22" x14ac:dyDescent="0.3">
      <c r="A61" t="s">
        <v>100</v>
      </c>
      <c r="B61" t="s">
        <v>43</v>
      </c>
      <c r="C61" t="s">
        <v>15</v>
      </c>
      <c r="I61" s="3">
        <f>IFERROR(FactTable[[#This Row],[cantidadUsadaMaterial]]*FactTable[[#This Row],[costoMaterial$]]/FactTable[[#This Row],[unidadUsadaMaterial]],0)</f>
        <v>0</v>
      </c>
      <c r="O61">
        <f>IFERROR(FactTable[[#This Row],[cantidadUsadaServicio]]*FactTable[[#This Row],[costoServicio$]]/FactTable[[#This Row],[unidadUsadaServicio]],0)</f>
        <v>0</v>
      </c>
      <c r="U61" s="3">
        <f>IFERROR(FactTable[[#This Row],[cantidadUsadaManoObra]]*FactTable[[#This Row],[costoManoObra$]]/FactTable[[#This Row],[unidadUsadaManoObra]],0)</f>
        <v>0</v>
      </c>
      <c r="V61">
        <v>0.3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wsUnidades"/>
  <dimension ref="A1:D22"/>
  <sheetViews>
    <sheetView zoomScale="95" zoomScaleNormal="95" workbookViewId="0">
      <selection activeCell="C5" sqref="C5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9" t="s">
        <v>52</v>
      </c>
      <c r="B1" s="9" t="s">
        <v>34</v>
      </c>
      <c r="C1" s="9" t="s">
        <v>65</v>
      </c>
      <c r="D1" s="9" t="s">
        <v>70</v>
      </c>
    </row>
    <row r="2" spans="1:4" ht="18.600000000000001" x14ac:dyDescent="0.45">
      <c r="A2" s="9" t="s">
        <v>53</v>
      </c>
      <c r="B2" s="9" t="s">
        <v>58</v>
      </c>
      <c r="C2" s="9" t="s">
        <v>57</v>
      </c>
      <c r="D2" s="9">
        <v>1</v>
      </c>
    </row>
    <row r="3" spans="1:4" ht="18.600000000000001" x14ac:dyDescent="0.45">
      <c r="A3" s="9" t="s">
        <v>33</v>
      </c>
      <c r="B3" s="9" t="s">
        <v>33</v>
      </c>
      <c r="C3" s="9" t="s">
        <v>66</v>
      </c>
      <c r="D3" s="9">
        <v>1</v>
      </c>
    </row>
    <row r="4" spans="1:4" ht="18.600000000000001" x14ac:dyDescent="0.45">
      <c r="A4" s="9" t="s">
        <v>54</v>
      </c>
      <c r="B4" s="9" t="s">
        <v>93</v>
      </c>
      <c r="C4" s="9" t="s">
        <v>69</v>
      </c>
      <c r="D4" s="9">
        <v>1</v>
      </c>
    </row>
    <row r="5" spans="1:4" ht="18.600000000000001" x14ac:dyDescent="0.45">
      <c r="A5" s="9" t="s">
        <v>53</v>
      </c>
      <c r="B5" s="9" t="s">
        <v>75</v>
      </c>
      <c r="C5" s="9" t="s">
        <v>57</v>
      </c>
      <c r="D5" s="9">
        <v>2</v>
      </c>
    </row>
    <row r="6" spans="1:4" ht="18.600000000000001" x14ac:dyDescent="0.45">
      <c r="A6" s="9" t="s">
        <v>53</v>
      </c>
      <c r="B6" s="9" t="s">
        <v>76</v>
      </c>
      <c r="C6" s="9" t="s">
        <v>57</v>
      </c>
      <c r="D6" s="9">
        <v>3</v>
      </c>
    </row>
    <row r="7" spans="1:4" ht="18.600000000000001" x14ac:dyDescent="0.45">
      <c r="A7" s="9" t="s">
        <v>54</v>
      </c>
      <c r="B7" s="9" t="s">
        <v>89</v>
      </c>
      <c r="C7" s="9" t="s">
        <v>69</v>
      </c>
      <c r="D7" s="9">
        <v>2</v>
      </c>
    </row>
    <row r="8" spans="1:4" ht="18.600000000000001" x14ac:dyDescent="0.45">
      <c r="A8" s="9" t="s">
        <v>55</v>
      </c>
      <c r="B8" s="9" t="s">
        <v>85</v>
      </c>
      <c r="C8" s="9" t="s">
        <v>67</v>
      </c>
      <c r="D8" s="9">
        <v>2</v>
      </c>
    </row>
    <row r="9" spans="1:4" ht="18.600000000000001" x14ac:dyDescent="0.45">
      <c r="A9" s="9" t="s">
        <v>56</v>
      </c>
      <c r="B9" s="9" t="s">
        <v>59</v>
      </c>
      <c r="C9" s="9" t="s">
        <v>68</v>
      </c>
      <c r="D9" s="9">
        <v>5</v>
      </c>
    </row>
    <row r="10" spans="1:4" ht="18.600000000000001" x14ac:dyDescent="0.45">
      <c r="A10" s="9" t="s">
        <v>56</v>
      </c>
      <c r="B10" s="9" t="s">
        <v>60</v>
      </c>
      <c r="C10" s="9" t="s">
        <v>68</v>
      </c>
      <c r="D10" s="9">
        <v>4</v>
      </c>
    </row>
    <row r="11" spans="1:4" ht="18.600000000000001" x14ac:dyDescent="0.45">
      <c r="A11" s="9" t="s">
        <v>56</v>
      </c>
      <c r="B11" s="9" t="s">
        <v>61</v>
      </c>
      <c r="C11" s="9" t="s">
        <v>68</v>
      </c>
      <c r="D11" s="9">
        <v>6</v>
      </c>
    </row>
    <row r="12" spans="1:4" ht="18.600000000000001" x14ac:dyDescent="0.45">
      <c r="A12" s="9" t="s">
        <v>56</v>
      </c>
      <c r="B12" s="9" t="s">
        <v>62</v>
      </c>
      <c r="C12" s="9" t="s">
        <v>68</v>
      </c>
      <c r="D12" s="9">
        <v>7</v>
      </c>
    </row>
    <row r="13" spans="1:4" ht="18.600000000000001" x14ac:dyDescent="0.45">
      <c r="A13" s="9" t="s">
        <v>56</v>
      </c>
      <c r="B13" s="9" t="s">
        <v>63</v>
      </c>
      <c r="C13" s="9" t="s">
        <v>68</v>
      </c>
      <c r="D13" s="9">
        <v>3</v>
      </c>
    </row>
    <row r="14" spans="1:4" ht="18.600000000000001" x14ac:dyDescent="0.45">
      <c r="A14" s="9" t="s">
        <v>56</v>
      </c>
      <c r="B14" s="9" t="s">
        <v>64</v>
      </c>
      <c r="C14" s="9" t="s">
        <v>68</v>
      </c>
      <c r="D14" s="9">
        <v>2</v>
      </c>
    </row>
    <row r="15" spans="1:4" ht="18.600000000000001" x14ac:dyDescent="0.45">
      <c r="A15" s="9" t="s">
        <v>56</v>
      </c>
      <c r="B15" s="9" t="s">
        <v>90</v>
      </c>
      <c r="C15" s="9" t="s">
        <v>68</v>
      </c>
      <c r="D15" s="9">
        <v>1</v>
      </c>
    </row>
    <row r="16" spans="1:4" ht="18.600000000000001" x14ac:dyDescent="0.45">
      <c r="A16" s="9" t="s">
        <v>55</v>
      </c>
      <c r="B16" s="9" t="s">
        <v>94</v>
      </c>
      <c r="C16" s="9" t="s">
        <v>67</v>
      </c>
      <c r="D16" s="9">
        <v>1</v>
      </c>
    </row>
    <row r="17" spans="1:4" ht="18.600000000000001" x14ac:dyDescent="0.45">
      <c r="A17" s="9" t="s">
        <v>55</v>
      </c>
      <c r="B17" s="9" t="s">
        <v>86</v>
      </c>
      <c r="C17" s="9" t="s">
        <v>67</v>
      </c>
      <c r="D17" s="9">
        <v>5</v>
      </c>
    </row>
    <row r="18" spans="1:4" ht="18.600000000000001" x14ac:dyDescent="0.45">
      <c r="A18" s="9" t="s">
        <v>71</v>
      </c>
      <c r="B18" s="9" t="s">
        <v>72</v>
      </c>
      <c r="C18" s="9" t="s">
        <v>73</v>
      </c>
      <c r="D18" s="9">
        <v>1</v>
      </c>
    </row>
    <row r="19" spans="1:4" ht="18.600000000000001" x14ac:dyDescent="0.45">
      <c r="A19" s="9" t="s">
        <v>54</v>
      </c>
      <c r="B19" s="9" t="s">
        <v>91</v>
      </c>
      <c r="C19" s="9" t="s">
        <v>69</v>
      </c>
      <c r="D19" s="9">
        <v>3</v>
      </c>
    </row>
    <row r="20" spans="1:4" ht="18.600000000000001" x14ac:dyDescent="0.45">
      <c r="A20" s="9" t="s">
        <v>54</v>
      </c>
      <c r="B20" s="9" t="s">
        <v>92</v>
      </c>
      <c r="C20" s="9" t="s">
        <v>69</v>
      </c>
      <c r="D20" s="9">
        <v>4</v>
      </c>
    </row>
    <row r="21" spans="1:4" ht="18.600000000000001" x14ac:dyDescent="0.45">
      <c r="A21" s="9" t="s">
        <v>55</v>
      </c>
      <c r="B21" s="9" t="s">
        <v>87</v>
      </c>
      <c r="C21" s="9" t="s">
        <v>67</v>
      </c>
      <c r="D21" s="9">
        <v>3</v>
      </c>
    </row>
    <row r="22" spans="1:4" ht="18.600000000000001" x14ac:dyDescent="0.45">
      <c r="A22" s="9" t="s">
        <v>55</v>
      </c>
      <c r="B22" s="9" t="s">
        <v>88</v>
      </c>
      <c r="C22" s="9" t="s">
        <v>67</v>
      </c>
      <c r="D22" s="9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wsMateriales"/>
  <dimension ref="A1:G29"/>
  <sheetViews>
    <sheetView workbookViewId="0">
      <selection activeCell="A29" sqref="A29:XFD31"/>
    </sheetView>
  </sheetViews>
  <sheetFormatPr baseColWidth="10" defaultColWidth="11.5546875" defaultRowHeight="18.600000000000001" x14ac:dyDescent="0.45"/>
  <cols>
    <col min="1" max="1" width="33.44140625" style="9" bestFit="1" customWidth="1"/>
    <col min="2" max="2" width="30.6640625" style="9" bestFit="1" customWidth="1"/>
    <col min="3" max="3" width="24.88671875" style="9" bestFit="1" customWidth="1"/>
    <col min="4" max="4" width="30" style="9" bestFit="1" customWidth="1"/>
    <col min="5" max="5" width="21.5546875" style="9" bestFit="1" customWidth="1"/>
    <col min="6" max="6" width="24.88671875" style="9" bestFit="1" customWidth="1"/>
    <col min="7" max="7" width="10.6640625" style="9" bestFit="1" customWidth="1"/>
    <col min="8" max="16384" width="11.5546875" style="9"/>
  </cols>
  <sheetData>
    <row r="1" spans="1:7" x14ac:dyDescent="0.45">
      <c r="A1" s="9" t="s">
        <v>21</v>
      </c>
      <c r="B1" s="9" t="s">
        <v>52</v>
      </c>
      <c r="C1" s="9" t="s">
        <v>95</v>
      </c>
      <c r="D1" s="9" t="s">
        <v>97</v>
      </c>
      <c r="E1" s="9" t="s">
        <v>98</v>
      </c>
      <c r="F1" s="9" t="s">
        <v>96</v>
      </c>
      <c r="G1" s="9" t="s">
        <v>30</v>
      </c>
    </row>
    <row r="2" spans="1:7" x14ac:dyDescent="0.45">
      <c r="A2" s="9" t="s">
        <v>38</v>
      </c>
      <c r="B2" s="9" t="s">
        <v>53</v>
      </c>
      <c r="C2" s="9" t="s">
        <v>58</v>
      </c>
      <c r="D2" s="21">
        <v>1</v>
      </c>
      <c r="E2" s="9" t="s">
        <v>75</v>
      </c>
      <c r="F2" s="21">
        <v>8</v>
      </c>
      <c r="G2" s="21">
        <v>10</v>
      </c>
    </row>
    <row r="3" spans="1:7" x14ac:dyDescent="0.45">
      <c r="A3" s="9" t="s">
        <v>104</v>
      </c>
      <c r="B3" s="9" t="s">
        <v>53</v>
      </c>
      <c r="C3" s="9" t="s">
        <v>58</v>
      </c>
      <c r="D3" s="21">
        <v>8</v>
      </c>
      <c r="E3" s="9" t="s">
        <v>75</v>
      </c>
      <c r="F3" s="21">
        <v>30</v>
      </c>
      <c r="G3" s="21">
        <v>8</v>
      </c>
    </row>
    <row r="4" spans="1:7" x14ac:dyDescent="0.45">
      <c r="A4" s="9" t="s">
        <v>105</v>
      </c>
      <c r="D4" s="21"/>
      <c r="F4" s="21"/>
      <c r="G4" s="21"/>
    </row>
    <row r="5" spans="1:7" x14ac:dyDescent="0.45">
      <c r="A5" s="9" t="s">
        <v>106</v>
      </c>
      <c r="D5" s="21"/>
      <c r="F5" s="21"/>
      <c r="G5" s="21"/>
    </row>
    <row r="6" spans="1:7" x14ac:dyDescent="0.45">
      <c r="A6" s="9" t="s">
        <v>107</v>
      </c>
      <c r="B6" s="9" t="s">
        <v>53</v>
      </c>
      <c r="C6" s="9" t="s">
        <v>58</v>
      </c>
      <c r="D6" s="21">
        <v>26</v>
      </c>
      <c r="E6" s="9" t="s">
        <v>75</v>
      </c>
      <c r="F6" s="21">
        <v>60</v>
      </c>
      <c r="G6" s="21">
        <v>7</v>
      </c>
    </row>
    <row r="7" spans="1:7" x14ac:dyDescent="0.45">
      <c r="A7" s="9" t="s">
        <v>108</v>
      </c>
      <c r="B7" s="9" t="s">
        <v>53</v>
      </c>
      <c r="C7" s="9" t="s">
        <v>58</v>
      </c>
      <c r="D7" s="21">
        <v>46</v>
      </c>
      <c r="E7" s="9" t="s">
        <v>75</v>
      </c>
      <c r="F7" s="21">
        <v>50</v>
      </c>
      <c r="G7" s="21">
        <v>6</v>
      </c>
    </row>
    <row r="8" spans="1:7" x14ac:dyDescent="0.45">
      <c r="A8" s="9" t="s">
        <v>121</v>
      </c>
      <c r="D8" s="21"/>
      <c r="F8" s="21"/>
      <c r="G8" s="21"/>
    </row>
    <row r="9" spans="1:7" x14ac:dyDescent="0.45">
      <c r="A9" s="9" t="s">
        <v>122</v>
      </c>
      <c r="B9" s="9" t="s">
        <v>54</v>
      </c>
      <c r="C9" s="9" t="s">
        <v>89</v>
      </c>
      <c r="D9" s="21">
        <v>1</v>
      </c>
      <c r="E9" s="9" t="s">
        <v>92</v>
      </c>
      <c r="F9" s="21">
        <v>4</v>
      </c>
      <c r="G9" s="21">
        <v>6</v>
      </c>
    </row>
    <row r="10" spans="1:7" x14ac:dyDescent="0.45">
      <c r="A10" s="9" t="s">
        <v>116</v>
      </c>
      <c r="B10" s="9" t="s">
        <v>33</v>
      </c>
      <c r="C10" s="9" t="s">
        <v>33</v>
      </c>
      <c r="D10" s="21">
        <v>100</v>
      </c>
      <c r="E10" s="9" t="s">
        <v>33</v>
      </c>
      <c r="F10" s="21">
        <v>9</v>
      </c>
      <c r="G10" s="21">
        <v>3.6</v>
      </c>
    </row>
    <row r="11" spans="1:7" x14ac:dyDescent="0.45">
      <c r="A11" s="9" t="s">
        <v>50</v>
      </c>
      <c r="B11" s="9" t="s">
        <v>55</v>
      </c>
      <c r="C11" s="9" t="s">
        <v>85</v>
      </c>
      <c r="D11" s="21">
        <v>4</v>
      </c>
      <c r="E11" s="9" t="s">
        <v>85</v>
      </c>
      <c r="F11" s="21">
        <v>0.5</v>
      </c>
      <c r="G11" s="21">
        <v>0.6</v>
      </c>
    </row>
    <row r="12" spans="1:7" x14ac:dyDescent="0.45">
      <c r="A12" s="9" t="s">
        <v>40</v>
      </c>
    </row>
    <row r="13" spans="1:7" x14ac:dyDescent="0.45">
      <c r="A13" s="9" t="s">
        <v>102</v>
      </c>
      <c r="B13" s="9" t="s">
        <v>33</v>
      </c>
      <c r="C13" s="9" t="s">
        <v>33</v>
      </c>
      <c r="D13" s="21">
        <v>129</v>
      </c>
      <c r="E13" s="9" t="s">
        <v>33</v>
      </c>
      <c r="F13" s="21">
        <v>46</v>
      </c>
      <c r="G13" s="21">
        <v>0.6</v>
      </c>
    </row>
    <row r="14" spans="1:7" x14ac:dyDescent="0.45">
      <c r="A14" s="9" t="s">
        <v>115</v>
      </c>
      <c r="B14" s="9" t="s">
        <v>33</v>
      </c>
      <c r="C14" s="9" t="s">
        <v>33</v>
      </c>
      <c r="D14" s="21">
        <v>1</v>
      </c>
      <c r="E14" s="9" t="s">
        <v>33</v>
      </c>
      <c r="F14" s="21">
        <v>1</v>
      </c>
      <c r="G14" s="21">
        <v>1</v>
      </c>
    </row>
    <row r="15" spans="1:7" x14ac:dyDescent="0.45">
      <c r="A15" s="9" t="s">
        <v>99</v>
      </c>
    </row>
    <row r="16" spans="1:7" x14ac:dyDescent="0.45">
      <c r="A16" s="9" t="s">
        <v>111</v>
      </c>
      <c r="B16" s="9" t="s">
        <v>33</v>
      </c>
      <c r="C16" s="9" t="s">
        <v>33</v>
      </c>
      <c r="D16" s="21">
        <v>40</v>
      </c>
      <c r="E16" s="9" t="s">
        <v>33</v>
      </c>
      <c r="F16" s="21">
        <v>1</v>
      </c>
      <c r="G16" s="21">
        <v>10</v>
      </c>
    </row>
    <row r="17" spans="1:7" x14ac:dyDescent="0.45">
      <c r="A17" s="9" t="s">
        <v>120</v>
      </c>
      <c r="D17" s="21"/>
      <c r="F17" s="21"/>
      <c r="G17" s="21"/>
    </row>
    <row r="18" spans="1:7" x14ac:dyDescent="0.45">
      <c r="A18" s="9" t="s">
        <v>118</v>
      </c>
      <c r="D18" s="21"/>
      <c r="F18" s="21"/>
      <c r="G18" s="21"/>
    </row>
    <row r="19" spans="1:7" x14ac:dyDescent="0.45">
      <c r="A19" s="9" t="s">
        <v>110</v>
      </c>
      <c r="B19" s="9" t="s">
        <v>53</v>
      </c>
      <c r="C19" s="9" t="s">
        <v>58</v>
      </c>
      <c r="D19" s="21">
        <v>45</v>
      </c>
      <c r="E19" s="9" t="s">
        <v>75</v>
      </c>
      <c r="F19" s="21">
        <v>215</v>
      </c>
      <c r="G19" s="21">
        <v>1.5</v>
      </c>
    </row>
    <row r="20" spans="1:7" x14ac:dyDescent="0.45">
      <c r="A20" s="9" t="s">
        <v>117</v>
      </c>
      <c r="D20" s="21"/>
      <c r="F20" s="21"/>
      <c r="G20" s="21"/>
    </row>
    <row r="21" spans="1:7" x14ac:dyDescent="0.45">
      <c r="A21" s="9" t="s">
        <v>48</v>
      </c>
    </row>
    <row r="22" spans="1:7" x14ac:dyDescent="0.45">
      <c r="A22" s="9" t="s">
        <v>36</v>
      </c>
    </row>
    <row r="23" spans="1:7" x14ac:dyDescent="0.45">
      <c r="A23" s="9" t="s">
        <v>35</v>
      </c>
    </row>
    <row r="24" spans="1:7" x14ac:dyDescent="0.45">
      <c r="A24" s="9" t="s">
        <v>119</v>
      </c>
      <c r="D24" s="21"/>
      <c r="F24" s="21"/>
      <c r="G24" s="21"/>
    </row>
    <row r="25" spans="1:7" x14ac:dyDescent="0.45">
      <c r="A25" s="9" t="s">
        <v>49</v>
      </c>
    </row>
    <row r="26" spans="1:7" x14ac:dyDescent="0.45">
      <c r="A26" s="9" t="s">
        <v>37</v>
      </c>
      <c r="B26" s="9" t="s">
        <v>33</v>
      </c>
      <c r="C26" s="9" t="s">
        <v>33</v>
      </c>
      <c r="D26" s="21">
        <v>100</v>
      </c>
      <c r="E26" s="9" t="s">
        <v>33</v>
      </c>
      <c r="F26" s="21">
        <v>1</v>
      </c>
      <c r="G26" s="21">
        <v>6</v>
      </c>
    </row>
    <row r="27" spans="1:7" x14ac:dyDescent="0.45">
      <c r="A27" s="9" t="s">
        <v>113</v>
      </c>
      <c r="B27" s="9" t="s">
        <v>53</v>
      </c>
      <c r="C27" s="9" t="s">
        <v>58</v>
      </c>
      <c r="D27" s="21">
        <v>100</v>
      </c>
      <c r="E27" s="9" t="s">
        <v>58</v>
      </c>
      <c r="F27" s="21">
        <v>4.5</v>
      </c>
      <c r="G27" s="21">
        <v>5</v>
      </c>
    </row>
    <row r="28" spans="1:7" x14ac:dyDescent="0.45">
      <c r="A28" s="9" t="s">
        <v>114</v>
      </c>
      <c r="B28" s="9" t="s">
        <v>33</v>
      </c>
      <c r="C28" s="9" t="s">
        <v>33</v>
      </c>
      <c r="D28" s="21">
        <v>1</v>
      </c>
      <c r="E28" s="9" t="s">
        <v>33</v>
      </c>
      <c r="F28" s="21">
        <v>1</v>
      </c>
      <c r="G28" s="21">
        <v>1.5</v>
      </c>
    </row>
    <row r="29" spans="1:7" x14ac:dyDescent="0.45">
      <c r="A29" s="9" t="s">
        <v>123</v>
      </c>
      <c r="D29" s="21"/>
      <c r="F29" s="21"/>
      <c r="G29" s="21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wsServicios"/>
  <dimension ref="A1:G5"/>
  <sheetViews>
    <sheetView workbookViewId="0">
      <selection activeCell="C22" sqref="C22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9" t="s">
        <v>23</v>
      </c>
      <c r="B1" s="9" t="s">
        <v>52</v>
      </c>
      <c r="C1" s="9" t="s">
        <v>95</v>
      </c>
      <c r="D1" s="9" t="s">
        <v>97</v>
      </c>
      <c r="E1" s="9" t="s">
        <v>98</v>
      </c>
      <c r="F1" s="9" t="s">
        <v>96</v>
      </c>
      <c r="G1" s="9" t="s">
        <v>30</v>
      </c>
    </row>
    <row r="2" spans="1:7" ht="18.600000000000001" x14ac:dyDescent="0.45">
      <c r="A2" s="9" t="s">
        <v>41</v>
      </c>
      <c r="B2" s="9" t="s">
        <v>56</v>
      </c>
      <c r="C2" s="9" t="s">
        <v>59</v>
      </c>
      <c r="D2" s="21">
        <v>1</v>
      </c>
      <c r="E2" s="9" t="s">
        <v>64</v>
      </c>
      <c r="F2" s="21">
        <v>45</v>
      </c>
      <c r="G2" s="21">
        <v>20</v>
      </c>
    </row>
    <row r="3" spans="1:7" ht="18.600000000000001" x14ac:dyDescent="0.45">
      <c r="A3" s="9" t="s">
        <v>44</v>
      </c>
      <c r="B3" s="9" t="s">
        <v>56</v>
      </c>
      <c r="C3" s="9" t="s">
        <v>61</v>
      </c>
      <c r="D3" s="21">
        <v>1</v>
      </c>
      <c r="E3" s="9" t="s">
        <v>63</v>
      </c>
      <c r="F3" s="21">
        <v>0.75</v>
      </c>
      <c r="G3" s="21">
        <v>5</v>
      </c>
    </row>
    <row r="4" spans="1:7" ht="18.600000000000001" x14ac:dyDescent="0.45">
      <c r="A4" s="9" t="s">
        <v>46</v>
      </c>
      <c r="B4" s="9" t="s">
        <v>71</v>
      </c>
      <c r="C4" s="9" t="s">
        <v>72</v>
      </c>
      <c r="D4" s="21">
        <v>100</v>
      </c>
      <c r="E4" s="9" t="s">
        <v>72</v>
      </c>
      <c r="F4" s="21">
        <v>4</v>
      </c>
      <c r="G4" s="21">
        <v>35</v>
      </c>
    </row>
    <row r="5" spans="1:7" ht="18.600000000000001" x14ac:dyDescent="0.45">
      <c r="A5" s="9" t="s">
        <v>103</v>
      </c>
      <c r="B5" s="9" t="s">
        <v>71</v>
      </c>
      <c r="C5" s="9" t="s">
        <v>72</v>
      </c>
      <c r="D5" s="21">
        <v>100</v>
      </c>
      <c r="E5" s="9" t="s">
        <v>72</v>
      </c>
      <c r="F5" s="21">
        <v>1.6699999570846558</v>
      </c>
      <c r="G5" s="21">
        <v>30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wsManoDeObra"/>
  <dimension ref="A1:G3"/>
  <sheetViews>
    <sheetView workbookViewId="0">
      <selection activeCell="B22" sqref="B22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9" t="s">
        <v>24</v>
      </c>
      <c r="B1" s="9" t="s">
        <v>52</v>
      </c>
      <c r="C1" s="9" t="s">
        <v>95</v>
      </c>
      <c r="D1" s="9" t="s">
        <v>97</v>
      </c>
      <c r="E1" s="9" t="s">
        <v>98</v>
      </c>
      <c r="F1" s="9" t="s">
        <v>96</v>
      </c>
      <c r="G1" s="9" t="s">
        <v>30</v>
      </c>
    </row>
    <row r="2" spans="1:7" ht="18.600000000000001" x14ac:dyDescent="0.45">
      <c r="A2" s="9" t="s">
        <v>42</v>
      </c>
      <c r="B2" s="9" t="s">
        <v>56</v>
      </c>
      <c r="C2" s="9" t="s">
        <v>63</v>
      </c>
      <c r="D2" s="21">
        <v>1</v>
      </c>
      <c r="E2" s="9" t="s">
        <v>63</v>
      </c>
      <c r="F2" s="21">
        <v>1</v>
      </c>
      <c r="G2" s="21">
        <v>3.12</v>
      </c>
    </row>
    <row r="3" spans="1:7" ht="18.600000000000001" x14ac:dyDescent="0.45">
      <c r="A3" s="9" t="s">
        <v>74</v>
      </c>
      <c r="B3" s="9" t="s">
        <v>56</v>
      </c>
      <c r="C3" s="9" t="s">
        <v>63</v>
      </c>
      <c r="D3" s="21">
        <v>1</v>
      </c>
      <c r="E3" s="9" t="s">
        <v>64</v>
      </c>
      <c r="F3" s="21">
        <v>20</v>
      </c>
      <c r="G3" s="21">
        <v>15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wsCategorias"/>
  <dimension ref="A1:A6"/>
  <sheetViews>
    <sheetView workbookViewId="0">
      <selection activeCell="A2" sqref="A2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9" t="s">
        <v>26</v>
      </c>
    </row>
    <row r="2" spans="1:1" ht="18.600000000000001" x14ac:dyDescent="0.45">
      <c r="A2" s="9" t="s">
        <v>51</v>
      </c>
    </row>
    <row r="3" spans="1:1" ht="18.600000000000001" x14ac:dyDescent="0.45">
      <c r="A3" s="9" t="s">
        <v>47</v>
      </c>
    </row>
    <row r="4" spans="1:1" ht="18.600000000000001" x14ac:dyDescent="0.45">
      <c r="A4" s="9" t="s">
        <v>109</v>
      </c>
    </row>
    <row r="5" spans="1:1" ht="18.600000000000001" x14ac:dyDescent="0.45">
      <c r="A5" s="9" t="s">
        <v>112</v>
      </c>
    </row>
    <row r="6" spans="1:1" ht="18.600000000000001" x14ac:dyDescent="0.45">
      <c r="A6" s="9" t="s">
        <v>43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wsNotas"/>
  <dimension ref="A1:C15"/>
  <sheetViews>
    <sheetView workbookViewId="0">
      <selection activeCell="B5" sqref="B5"/>
    </sheetView>
  </sheetViews>
  <sheetFormatPr baseColWidth="10" defaultColWidth="12.44140625" defaultRowHeight="14.4" x14ac:dyDescent="0.3"/>
  <cols>
    <col min="2" max="2" width="126.77734375" bestFit="1" customWidth="1"/>
    <col min="3" max="3" width="63.88671875" customWidth="1"/>
  </cols>
  <sheetData>
    <row r="1" spans="1:3" x14ac:dyDescent="0.3">
      <c r="A1" t="s">
        <v>28</v>
      </c>
      <c r="B1" t="s">
        <v>83</v>
      </c>
      <c r="C1" t="s">
        <v>84</v>
      </c>
    </row>
    <row r="15" spans="1:3" x14ac:dyDescent="0.3">
      <c r="C15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Licencia</vt:lpstr>
      <vt:lpstr>Formulario</vt:lpstr>
      <vt:lpstr>UNIDADES</vt:lpstr>
      <vt:lpstr>MATERIALES</vt:lpstr>
      <vt:lpstr>SERVICIOS</vt:lpstr>
      <vt:lpstr>MANO_DE_OBRA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2025-05-07T07:52:52Z</dcterms:modified>
</cp:coreProperties>
</file>