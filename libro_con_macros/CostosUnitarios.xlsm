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3BA9C9D5-F101-41D1-A6F0-7C5EFDD0CC1A}" xr6:coauthVersionLast="47" xr6:coauthVersionMax="47" xr10:uidLastSave="{00000000-0000-0000-0000-000000000000}"/>
  <bookViews>
    <workbookView xWindow="28680" yWindow="-120" windowWidth="29040" windowHeight="15720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state="hidden" r:id="rId6"/>
    <sheet name="SERVICIOS" sheetId="17" state="hidden" r:id="rId7"/>
    <sheet name="MANO_DE_OBRA" sheetId="15" state="hidden" r:id="rId8"/>
    <sheet name="CATEGORIAS" sheetId="16" r:id="rId9"/>
    <sheet name="Notas" sheetId="9" state="veryHidden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2" l="1"/>
  <c r="O27" i="2"/>
  <c r="U27" i="2"/>
  <c r="I26" i="2"/>
  <c r="O26" i="2"/>
  <c r="I25" i="2"/>
  <c r="U25" i="2"/>
  <c r="I24" i="2"/>
  <c r="U24" i="2"/>
  <c r="O23" i="2"/>
  <c r="U23" i="2"/>
  <c r="O22" i="2"/>
  <c r="U22" i="2"/>
  <c r="I21" i="2"/>
  <c r="O21" i="2"/>
  <c r="U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O4" i="2"/>
  <c r="U4" i="2"/>
  <c r="O3" i="2"/>
  <c r="U3" i="2"/>
  <c r="O2" i="2"/>
  <c r="U2" i="2"/>
  <c r="K16" i="6" l="1"/>
  <c r="M10" i="6" s="1"/>
  <c r="H16" i="6"/>
  <c r="M7" i="6" s="1"/>
  <c r="E16" i="6"/>
  <c r="M4" i="6" s="1"/>
  <c r="K6" i="4"/>
  <c r="K5" i="4"/>
  <c r="K4" i="4"/>
  <c r="J6" i="4"/>
  <c r="J5" i="4"/>
  <c r="J4" i="4"/>
  <c r="H4" i="4"/>
  <c r="H5" i="4" s="1"/>
  <c r="M13" i="6" l="1"/>
  <c r="M16" i="6" s="1"/>
  <c r="H6" i="4"/>
</calcChain>
</file>

<file path=xl/sharedStrings.xml><?xml version="1.0" encoding="utf-8"?>
<sst xmlns="http://schemas.openxmlformats.org/spreadsheetml/2006/main" count="283" uniqueCount="118">
  <si>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</si>
  <si>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</si>
  <si>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</si>
  <si>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</si>
  <si>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</si>
  <si>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</si>
  <si>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</si>
  <si>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</si>
  <si>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</si>
  <si>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</si>
  <si>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</si>
  <si>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</si>
  <si>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</si>
  <si>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</si>
  <si>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</si>
  <si>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</si>
  <si>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</si>
  <si>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</si>
  <si>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</si>
  <si>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</si>
  <si>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</si>
  <si>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</si>
  <si>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</si>
  <si>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</si>
  <si>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</si>
  <si>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</si>
  <si>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</si>
  <si>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</si>
  <si>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</si>
  <si>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</si>
  <si>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</si>
  <si>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MATERIALES</t>
  </si>
  <si>
    <t>SERVICIOS</t>
  </si>
  <si>
    <t>MATERIAL</t>
  </si>
  <si>
    <t>COSTO($)</t>
  </si>
  <si>
    <t>SERVICIO</t>
  </si>
  <si>
    <t>MANO DE OBRA</t>
  </si>
  <si>
    <t>Total</t>
  </si>
  <si>
    <t>CATEGORIA</t>
  </si>
  <si>
    <t>CATEGORIAS</t>
  </si>
  <si>
    <t>Margen (% Ganancia)</t>
  </si>
  <si>
    <t>Validar que Materiales, Servicio y Mano De Obra tengan datos antes de grabar. Ninguno puede estar vacio</t>
  </si>
  <si>
    <t>1.-</t>
  </si>
  <si>
    <t>Numero</t>
  </si>
  <si>
    <t>COSTO TOTAL</t>
  </si>
  <si>
    <t>PRECIO</t>
  </si>
  <si>
    <t>ZARCILLOS SOLITARIO</t>
  </si>
  <si>
    <t>PULSERA MINIMALISTA</t>
  </si>
  <si>
    <t>UNIDAD</t>
  </si>
  <si>
    <t>CANTIDAD</t>
  </si>
  <si>
    <t>UNIDADES</t>
  </si>
  <si>
    <t>PIEDRAS ROJAS</t>
  </si>
  <si>
    <t>PIEDRAS CUARZO</t>
  </si>
  <si>
    <t>TARJETA</t>
  </si>
  <si>
    <t xml:space="preserve">2.- </t>
  </si>
  <si>
    <t>CrearListaDesplegableDesdeTabla está duplicada con otra subrutina. Dejas una sola</t>
  </si>
  <si>
    <t>ALAMBRE</t>
  </si>
  <si>
    <t>3.-</t>
  </si>
  <si>
    <t>Mayusculas en las listas de materiales al cargar en la TABLA MATERIALES DE FORMULARIO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</si>
  <si>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</si>
  <si>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</si>
  <si>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</si>
  <si>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</si>
  <si>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</si>
  <si>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</si>
  <si>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</si>
  <si>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</si>
  <si>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</si>
  <si>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</si>
  <si>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</si>
  <si>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</si>
  <si>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</si>
  <si>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</si>
  <si>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</si>
  <si>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</si>
  <si>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</si>
  <si>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</si>
  <si>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</si>
  <si>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</si>
  <si>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</si>
  <si>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</si>
  <si>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</si>
  <si>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</si>
  <si>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</si>
  <si>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</si>
  <si>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</si>
  <si>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</si>
  <si>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</si>
  <si>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</si>
  <si>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</si>
  <si>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</si>
  <si>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</si>
  <si>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</si>
  <si>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</si>
  <si>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</si>
  <si>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</si>
  <si>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</si>
  <si>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</si>
  <si>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</si>
  <si>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</si>
  <si>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</si>
  <si>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</si>
  <si>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</si>
  <si>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</si>
  <si>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</si>
  <si>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</si>
  <si>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</si>
  <si>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</si>
  <si>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</si>
  <si>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</si>
  <si>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</si>
  <si>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</si>
  <si>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</si>
  <si>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</si>
  <si>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</si>
  <si>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 xml:space="preserve">Se requiere un objeto PARAMETROS: </t>
  </si>
  <si>
    <t>CommandButtonCalcularCosto_Click</t>
  </si>
  <si>
    <t xml:space="preserve">Error definido por la aplicación o el objeto PARAMETROS: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</si>
</sst>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540A]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</cellXfs>
  <cellStyles count="3">
    <cellStyle name="Hipervínculo" xfId="2" builtinId="8"/>
    <cellStyle name="Normal" xfId="0" builtinId="0"/>
    <cellStyle name="Porcentaje" xfId="1" builtinId="5"/>
  </cellStyles>
  <dxfs count="56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0.313</c:v>
                </c:pt>
                <c:pt idx="1">
                  <c:v>0.58899999999999997</c:v>
                </c:pt>
                <c:pt idx="2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0.313</c:v>
                </c:pt>
                <c:pt idx="1">
                  <c:v>0.58899999999999997</c:v>
                </c:pt>
                <c:pt idx="2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4</xdr:col>
      <xdr:colOff>279399</xdr:colOff>
      <xdr:row>24</xdr:row>
      <xdr:rowOff>84665</xdr:rowOff>
    </xdr:from>
    <xdr:to>
      <xdr:col>9</xdr:col>
      <xdr:colOff>287865</xdr:colOff>
      <xdr:row>44</xdr:row>
      <xdr:rowOff>127000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16086</xdr:colOff>
      <xdr:row>17</xdr:row>
      <xdr:rowOff>7620</xdr:rowOff>
    </xdr:from>
    <xdr:to>
      <xdr:col>13</xdr:col>
      <xdr:colOff>40640</xdr:colOff>
      <xdr:row>21</xdr:row>
      <xdr:rowOff>143087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564726" y="4823460"/>
          <a:ext cx="12856634" cy="8669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48025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9048750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57925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72250" cy="489394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$1,79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52%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$2,72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OVALADA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$0,31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$0,59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$0,89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$0,93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0.860269560188" createdVersion="8" refreshedVersion="8" minRefreshableVersion="3" recordCount="26" xr:uid="{FA38EBDB-6F6B-40E0-A39D-1DA259BE4882}">
  <cacheSource type="worksheet">
    <worksheetSource name="FactTable"/>
  </cacheSource>
  <cacheFields count="22">
    <cacheField name="nombreProducto" numFmtId="0">
      <sharedItems count="31">
        <s v="PULSERA MINIMALISTA"/>
        <s v="COLLAR DE PERLAS"/>
        <s v="ZARCILLOS SOLITARIO"/>
        <s v="PULSERA OVALADA"/>
        <s v="PULSERA DE PERLAS BLANCAS" u="1"/>
        <s v="PRODUCTO DESDE CERO" u="1"/>
        <s v="PULSERA AMARILLA" u="1"/>
        <s v="NUEVO PRODUCTO" u="1"/>
        <s v="MAT 1" u="1"/>
        <s v="NUEVO" u="1"/>
        <s v="COLLAR VERDE" u="1"/>
        <s v="COLLAR VERDE LIMON" u="1"/>
        <s v="PULSERA DE PERLAS ROJAS" u="1"/>
        <s v="COLLAR CORTO" u="1"/>
        <s v="ZARCILLO SIMPLE" u="1"/>
        <s v="PULSERA DE ORO" u="1"/>
        <s v="PULSERA DE DIAMANTES" u="1"/>
        <s v="PULSERA DE DIAMANTES 2" u="1"/>
        <s v="PULSERA CELIA" u="1"/>
        <s v="PULSER GUACAMAYA" u="1"/>
        <s v="PULSER GUACAMAYA 2" u="1"/>
        <s v="PULSER GUACAMAYA 3" u="1"/>
        <s v="PULSER GUACAMAYA 4" u="1"/>
        <s v="NUEVO COLLAR" u="1"/>
        <s v="ZARCILLOS 1" u="1"/>
        <s v="ZARCILLOS SOLITARIO DOBLE" u="1"/>
        <s v="OTRO ZARCILLO" u="1"/>
        <s v="Pulsera guacamaya 5" u="1"/>
        <s v="OTRA PULSERA" u="1"/>
        <s v="fgfdg" u="1"/>
        <s v="Zarcillo solitario" u="1"/>
      </sharedItems>
    </cacheField>
    <cacheField name="categoriaProductos" numFmtId="0">
      <sharedItems count="4">
        <s v="PULSERAS"/>
        <s v="COLLARE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emiMixedTypes="0" containsString="0" containsNumber="1" minValue="0" maxValue="0.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0.89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s v="ALAMBRE"/>
    <m/>
    <m/>
    <m/>
    <m/>
    <n v="0.3"/>
    <m/>
    <m/>
    <m/>
    <m/>
    <m/>
    <n v="0"/>
    <m/>
    <m/>
    <m/>
    <m/>
    <m/>
    <n v="0"/>
    <m/>
  </r>
  <r>
    <x v="0"/>
    <x v="0"/>
    <x v="0"/>
    <s v="TARJETA"/>
    <m/>
    <m/>
    <m/>
    <m/>
    <n v="0.23"/>
    <m/>
    <m/>
    <m/>
    <m/>
    <m/>
    <n v="0"/>
    <m/>
    <m/>
    <m/>
    <m/>
    <m/>
    <n v="0"/>
    <m/>
  </r>
  <r>
    <x v="0"/>
    <x v="0"/>
    <x v="0"/>
    <s v="BROCHE"/>
    <m/>
    <m/>
    <m/>
    <m/>
    <n v="0.3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8"/>
    <m/>
  </r>
  <r>
    <x v="0"/>
    <x v="0"/>
    <x v="3"/>
    <m/>
    <m/>
    <m/>
    <m/>
    <m/>
    <n v="0"/>
    <m/>
    <m/>
    <m/>
    <m/>
    <m/>
    <n v="0"/>
    <m/>
    <m/>
    <m/>
    <m/>
    <m/>
    <n v="0"/>
    <n v="0.51"/>
  </r>
  <r>
    <x v="1"/>
    <x v="1"/>
    <x v="0"/>
    <s v="BROCHE"/>
    <m/>
    <m/>
    <m/>
    <m/>
    <n v="1.25"/>
    <m/>
    <m/>
    <m/>
    <m/>
    <m/>
    <n v="0"/>
    <m/>
    <m/>
    <m/>
    <m/>
    <m/>
    <n v="0"/>
    <m/>
  </r>
  <r>
    <x v="1"/>
    <x v="1"/>
    <x v="0"/>
    <s v="ALAMBRE"/>
    <m/>
    <m/>
    <m/>
    <m/>
    <n v="2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25"/>
    <m/>
    <m/>
    <m/>
    <m/>
    <m/>
    <n v="0"/>
    <m/>
  </r>
  <r>
    <x v="1"/>
    <x v="1"/>
    <x v="1"/>
    <m/>
    <m/>
    <m/>
    <m/>
    <m/>
    <n v="0"/>
    <s v="GASOLINA"/>
    <m/>
    <m/>
    <m/>
    <m/>
    <n v="0.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37"/>
    <m/>
  </r>
  <r>
    <x v="1"/>
    <x v="1"/>
    <x v="3"/>
    <m/>
    <m/>
    <m/>
    <m/>
    <m/>
    <n v="0"/>
    <m/>
    <m/>
    <m/>
    <m/>
    <m/>
    <n v="0"/>
    <m/>
    <m/>
    <m/>
    <m/>
    <m/>
    <n v="0"/>
    <n v="0.6"/>
  </r>
  <r>
    <x v="2"/>
    <x v="2"/>
    <x v="0"/>
    <s v="ALAMBRE"/>
    <m/>
    <m/>
    <m/>
    <m/>
    <n v="0.04"/>
    <m/>
    <m/>
    <m/>
    <m/>
    <m/>
    <n v="0"/>
    <m/>
    <m/>
    <m/>
    <m/>
    <m/>
    <n v="0"/>
    <m/>
  </r>
  <r>
    <x v="2"/>
    <x v="2"/>
    <x v="0"/>
    <s v="PERLAS"/>
    <m/>
    <m/>
    <m/>
    <m/>
    <n v="0.2"/>
    <m/>
    <m/>
    <m/>
    <m/>
    <m/>
    <n v="0"/>
    <m/>
    <m/>
    <m/>
    <m/>
    <m/>
    <n v="0"/>
    <m/>
  </r>
  <r>
    <x v="2"/>
    <x v="2"/>
    <x v="0"/>
    <s v="BOLSA"/>
    <m/>
    <m/>
    <m/>
    <m/>
    <n v="0.01"/>
    <m/>
    <m/>
    <m/>
    <m/>
    <m/>
    <n v="0"/>
    <m/>
    <m/>
    <m/>
    <m/>
    <m/>
    <n v="0"/>
    <m/>
  </r>
  <r>
    <x v="2"/>
    <x v="2"/>
    <x v="1"/>
    <m/>
    <m/>
    <m/>
    <m/>
    <m/>
    <n v="0"/>
    <s v="INTERNET"/>
    <m/>
    <m/>
    <m/>
    <m/>
    <n v="0.03"/>
    <m/>
    <m/>
    <m/>
    <m/>
    <m/>
    <n v="0"/>
    <m/>
  </r>
  <r>
    <x v="2"/>
    <x v="2"/>
    <x v="1"/>
    <m/>
    <m/>
    <m/>
    <m/>
    <m/>
    <n v="0"/>
    <s v="TELÉFONO"/>
    <m/>
    <m/>
    <m/>
    <m/>
    <n v="0.08"/>
    <m/>
    <m/>
    <m/>
    <m/>
    <m/>
    <n v="0"/>
    <m/>
  </r>
  <r>
    <x v="2"/>
    <x v="2"/>
    <x v="1"/>
    <m/>
    <m/>
    <m/>
    <m/>
    <m/>
    <n v="0"/>
    <s v="GASOLINA"/>
    <m/>
    <m/>
    <m/>
    <m/>
    <n v="0.02"/>
    <m/>
    <m/>
    <m/>
    <m/>
    <m/>
    <n v="0"/>
    <m/>
  </r>
  <r>
    <x v="2"/>
    <x v="2"/>
    <x v="2"/>
    <m/>
    <m/>
    <m/>
    <m/>
    <m/>
    <n v="0"/>
    <m/>
    <m/>
    <m/>
    <m/>
    <m/>
    <n v="0"/>
    <s v="ROMINA"/>
    <m/>
    <m/>
    <m/>
    <m/>
    <n v="0.37"/>
    <m/>
  </r>
  <r>
    <x v="2"/>
    <x v="2"/>
    <x v="3"/>
    <m/>
    <m/>
    <m/>
    <m/>
    <m/>
    <n v="0"/>
    <m/>
    <m/>
    <m/>
    <m/>
    <m/>
    <n v="0"/>
    <m/>
    <m/>
    <m/>
    <m/>
    <m/>
    <n v="0"/>
    <n v="0.3"/>
  </r>
  <r>
    <x v="3"/>
    <x v="0"/>
    <x v="0"/>
    <s v="PIEDRAS CUARZO"/>
    <m/>
    <m/>
    <m/>
    <m/>
    <n v="0.2"/>
    <m/>
    <m/>
    <m/>
    <m/>
    <m/>
    <n v="0"/>
    <m/>
    <m/>
    <m/>
    <m/>
    <m/>
    <n v="0"/>
    <m/>
  </r>
  <r>
    <x v="3"/>
    <x v="0"/>
    <x v="0"/>
    <s v="ALAMBRE"/>
    <m/>
    <m/>
    <m/>
    <m/>
    <n v="0.113"/>
    <m/>
    <m/>
    <m/>
    <m/>
    <m/>
    <n v="0"/>
    <m/>
    <m/>
    <m/>
    <m/>
    <m/>
    <n v="0"/>
    <m/>
  </r>
  <r>
    <x v="3"/>
    <x v="0"/>
    <x v="1"/>
    <m/>
    <m/>
    <m/>
    <m/>
    <m/>
    <n v="0"/>
    <s v="INTERNET"/>
    <m/>
    <m/>
    <m/>
    <m/>
    <n v="0.5"/>
    <m/>
    <m/>
    <m/>
    <m/>
    <m/>
    <n v="0"/>
    <m/>
  </r>
  <r>
    <x v="3"/>
    <x v="0"/>
    <x v="1"/>
    <m/>
    <m/>
    <m/>
    <m/>
    <m/>
    <n v="0"/>
    <s v="GASOLINA"/>
    <m/>
    <m/>
    <m/>
    <m/>
    <n v="8.8999999999999996E-2"/>
    <m/>
    <m/>
    <m/>
    <m/>
    <m/>
    <n v="0"/>
    <m/>
  </r>
  <r>
    <x v="3"/>
    <x v="0"/>
    <x v="2"/>
    <m/>
    <m/>
    <m/>
    <m/>
    <m/>
    <n v="0"/>
    <m/>
    <m/>
    <m/>
    <m/>
    <m/>
    <n v="0"/>
    <s v="ROMINA"/>
    <m/>
    <m/>
    <m/>
    <m/>
    <n v="0.89"/>
    <m/>
  </r>
  <r>
    <x v="3"/>
    <x v="0"/>
    <x v="3"/>
    <m/>
    <m/>
    <m/>
    <m/>
    <m/>
    <n v="0"/>
    <m/>
    <m/>
    <m/>
    <m/>
    <m/>
    <n v="0"/>
    <m/>
    <m/>
    <m/>
    <m/>
    <m/>
    <n v="0"/>
    <n v="0.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2">
        <item h="1" m="1" x="4"/>
        <item h="1" m="1" x="12"/>
        <item h="1" m="1" x="13"/>
        <item h="1" m="1" x="24"/>
        <item h="1" x="2"/>
        <item h="1" m="1" x="25"/>
        <item h="1" m="1" x="29"/>
        <item h="1" m="1" x="30"/>
        <item h="1" m="1" x="14"/>
        <item h="1" m="1" x="6"/>
        <item h="1" m="1" x="15"/>
        <item h="1" m="1" x="26"/>
        <item h="1" m="1" x="16"/>
        <item h="1" m="1" x="17"/>
        <item h="1" m="1" x="18"/>
        <item h="1" x="0"/>
        <item h="1" m="1" x="19"/>
        <item h="1" m="1" x="20"/>
        <item h="1" m="1" x="21"/>
        <item h="1" m="1" x="22"/>
        <item h="1" m="1" x="27"/>
        <item h="1" m="1" x="28"/>
        <item h="1" m="1" x="10"/>
        <item h="1" m="1" x="23"/>
        <item h="1" m="1" x="11"/>
        <item h="1" m="1" x="9"/>
        <item h="1" x="1"/>
        <item h="1" m="1" x="7"/>
        <item h="1" m="1" x="8"/>
        <item x="3"/>
        <item h="1" m="1" x="5"/>
        <item t="default"/>
      </items>
    </pivotField>
    <pivotField showAll="0">
      <items count="5">
        <item h="1" x="1"/>
        <item h="1" m="1" x="3"/>
        <item x="0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3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0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1">
        <i x="0"/>
        <i x="3" s="1"/>
        <i x="13" nd="1"/>
        <i x="1" nd="1"/>
        <i x="10" nd="1"/>
        <i x="11" nd="1"/>
        <i x="29" nd="1"/>
        <i x="8" nd="1"/>
        <i x="9" nd="1"/>
        <i x="23" nd="1"/>
        <i x="7" nd="1"/>
        <i x="28" nd="1"/>
        <i x="26" nd="1"/>
        <i x="5" nd="1"/>
        <i x="19" nd="1"/>
        <i x="20" nd="1"/>
        <i x="21" nd="1"/>
        <i x="22" nd="1"/>
        <i x="6" nd="1"/>
        <i x="18" nd="1"/>
        <i x="16" nd="1"/>
        <i x="17" nd="1"/>
        <i x="15" nd="1"/>
        <i x="4" nd="1"/>
        <i x="12" nd="1"/>
        <i x="27" nd="1"/>
        <i x="14" nd="1"/>
        <i x="30" nd="1"/>
        <i x="24" nd="1"/>
        <i x="2" nd="1"/>
        <i x="2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0" s="1"/>
        <i x="1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55" totalsRowDxfId="53" tableBorderDxfId="54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52"/>
    <tableColumn id="2" xr3:uid="{67F9B078-7971-4210-877B-9C9A2263ED2A}" name="COSTO($)" totalsRowFunction="sum" totalsRow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0" dataDxfId="49" totalsRowDxfId="48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47" totalsRowDxfId="46"/>
    <tableColumn id="2" xr3:uid="{FED94907-3424-45B2-861F-853E156B063B}" name="COSTO($)" totalsRowFunction="sum" dataDxfId="45" totalsRow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43" dataDxfId="42" totalsRowDxfId="41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0" totalsRowDxfId="39"/>
    <tableColumn id="2" xr3:uid="{D1EF3DFB-AA71-407B-AEF5-6C727B011AC1}" name="COSTO($)" totalsRowFunction="sum" dataDxfId="38" totalsRow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27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36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35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34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29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2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26" dataDxfId="25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24"/>
    <tableColumn id="1" xr3:uid="{E1A683EB-EE64-45BC-9626-90EF28F9D8EC}" name="UNIDADES" dataDxfId="23"/>
    <tableColumn id="4" xr3:uid="{79D4A729-AFF7-45E8-B9A1-FF1356E622DD}" name="TIPO DE MEDIDA CON EJEMPLO" dataDxfId="22"/>
    <tableColumn id="5" xr3:uid="{BC6A7262-7D1D-4DEF-B12A-AA80E287FA5C}" name="ORDENAR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D9" totalsRowShown="0" headerRowDxfId="20" dataDxfId="19">
  <autoFilter ref="A1:D9" xr:uid="{04BC01B3-6066-44E3-9DF1-3746F2802D86}"/>
  <tableColumns count="4">
    <tableColumn id="1" xr3:uid="{1B2EB763-6053-4247-A4D7-F9836FFA73EA}" name="MATERIALES" dataDxfId="18"/>
    <tableColumn id="2" xr3:uid="{3482D2CF-B368-4191-91D2-676ECD1A621F}" name="UNIDAD" dataDxfId="17"/>
    <tableColumn id="3" xr3:uid="{C67EF1B5-A9B0-4212-A109-5F8EEDE51D15}" name="CANTIDAD" dataDxfId="16"/>
    <tableColumn id="4" xr3:uid="{44E19CED-6E78-4420-9CAE-89CDDDAE05BF}" name="PRECIO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D4" totalsRowShown="0" headerRowDxfId="14" dataDxfId="13">
  <autoFilter ref="A1:D4" xr:uid="{10A5002C-808D-4387-A5C6-7E26A1F5B81A}"/>
  <tableColumns count="4">
    <tableColumn id="1" xr3:uid="{B4545FC2-4B1B-41F4-BD0A-36DA34F4E563}" name="SERVICIOS" dataDxfId="12"/>
    <tableColumn id="2" xr3:uid="{EF5740F7-4F1C-46C8-8F26-5581F288F70A}" name="UNIDAD" dataDxfId="11"/>
    <tableColumn id="3" xr3:uid="{4FB5D3A5-8092-4B21-BE97-CB95AE71D9C5}" name="CANTIDAD" dataDxfId="10"/>
    <tableColumn id="4" xr3:uid="{3FA48EF2-D7E0-4171-8E29-CA7337F26497}" name="PRECIO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D3" totalsRowShown="0" headerRowDxfId="8" dataDxfId="7">
  <autoFilter ref="A1:D3" xr:uid="{A590C0B8-09EB-4AD3-83AB-914C9FC81D47}"/>
  <tableColumns count="4">
    <tableColumn id="2" xr3:uid="{CF8293A7-FCFB-462B-87C6-7ADECB3E3EC8}" name="MANO DE OBRA" dataDxfId="6"/>
    <tableColumn id="6" xr3:uid="{0995AFE9-7562-4B65-BFE2-752911DBADA5}" name="UNIDAD" dataDxfId="5"/>
    <tableColumn id="3" xr3:uid="{FDF6BEDD-F402-4A7C-8BF8-8F439C83287F}" name="CANTIDAD" dataDxfId="4"/>
    <tableColumn id="4" xr3:uid="{26F46A0E-7E73-4C52-BE29-04F5CD56B892}" name="PRECIO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4" totalsRowShown="0" headerRowDxfId="2" dataDxfId="1">
  <autoFilter ref="A1:A4" xr:uid="{C9559379-AFD8-4292-B689-A335C36E3551}"/>
  <tableColumns count="1">
    <tableColumn id="1" xr3:uid="{02001C19-3BE2-4C7C-98A6-3936C05D736A}" name="CATEGORIAS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10" totalsRowShown="0">
  <autoFilter ref="A1:C10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17"/>
  <sheetViews>
    <sheetView showGridLines="0" tabSelected="1" zoomScaleNormal="100" workbookViewId="0">
      <selection activeCell="G5" sqref="G5"/>
    </sheetView>
  </sheetViews>
  <sheetFormatPr baseColWidth="10" defaultRowHeight="14.4" x14ac:dyDescent="0.3"/>
  <cols>
    <col min="1" max="1" width="3.21875" customWidth="1"/>
    <col min="2" max="2" width="39.88671875" customWidth="1"/>
    <col min="3" max="3" width="4.21875" customWidth="1"/>
    <col min="4" max="4" width="22.77734375" customWidth="1"/>
    <col min="5" max="5" width="17.77734375" customWidth="1"/>
    <col min="6" max="6" width="3.33203125" customWidth="1"/>
    <col min="7" max="7" width="16.88671875" customWidth="1"/>
    <col min="8" max="8" width="16.21875" customWidth="1"/>
    <col min="9" max="9" width="7.44140625" customWidth="1"/>
    <col min="10" max="10" width="23.6640625" customWidth="1"/>
    <col min="11" max="11" width="15.88671875" customWidth="1"/>
    <col min="12" max="12" width="3" customWidth="1"/>
    <col min="13" max="13" width="24.21875" bestFit="1" customWidth="1"/>
  </cols>
  <sheetData>
    <row r="1" spans="2:13" ht="40.799999999999997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33</v>
      </c>
      <c r="E3" s="20" t="s">
        <v>34</v>
      </c>
      <c r="G3" s="20" t="s">
        <v>35</v>
      </c>
      <c r="H3" s="20" t="s">
        <v>34</v>
      </c>
      <c r="J3" s="20" t="s">
        <v>36</v>
      </c>
      <c r="K3" s="20" t="s">
        <v>34</v>
      </c>
      <c r="M3" s="15" t="s">
        <v>33</v>
      </c>
    </row>
    <row r="4" spans="2:13" ht="19.2" thickBot="1" x14ac:dyDescent="0.5">
      <c r="B4" s="13" t="s">
        <v>65</v>
      </c>
      <c r="C4" s="12"/>
      <c r="D4" s="25" t="s">
        <v>52</v>
      </c>
      <c r="E4" s="22">
        <v>0.2</v>
      </c>
      <c r="G4" s="25" t="s">
        <v>66</v>
      </c>
      <c r="H4" s="22">
        <v>0.5</v>
      </c>
      <c r="J4" s="25" t="s">
        <v>62</v>
      </c>
      <c r="K4" s="22">
        <v>0.89</v>
      </c>
      <c r="M4" s="17">
        <f>+TablaF_Materiales[[#Totals],[COSTO($)]]</f>
        <v>0.313</v>
      </c>
    </row>
    <row r="5" spans="2:13" ht="17.399999999999999" x14ac:dyDescent="0.45">
      <c r="D5" s="25" t="s">
        <v>56</v>
      </c>
      <c r="E5" s="22">
        <v>0.113</v>
      </c>
      <c r="G5" s="25" t="s">
        <v>61</v>
      </c>
      <c r="H5" s="22">
        <v>8.8999999999999996E-2</v>
      </c>
      <c r="J5" s="25"/>
      <c r="K5" s="22"/>
    </row>
    <row r="6" spans="2:13" ht="25.2" customHeight="1" thickBot="1" x14ac:dyDescent="0.5">
      <c r="B6" s="10" t="s">
        <v>38</v>
      </c>
      <c r="D6" s="25"/>
      <c r="E6" s="22"/>
      <c r="G6" s="25"/>
      <c r="H6" s="22"/>
      <c r="J6" s="25"/>
      <c r="K6" s="22"/>
      <c r="M6" s="15" t="s">
        <v>35</v>
      </c>
    </row>
    <row r="7" spans="2:13" ht="19.8" customHeight="1" thickBot="1" x14ac:dyDescent="0.5">
      <c r="B7" s="13" t="s">
        <v>63</v>
      </c>
      <c r="J7" s="25"/>
      <c r="K7" s="22"/>
      <c r="M7" s="17">
        <f>+TablaF_Servicios[[#Totals],[COSTO($)]]</f>
        <v>0.58899999999999997</v>
      </c>
    </row>
    <row r="8" spans="2:13" ht="17.399999999999999" x14ac:dyDescent="0.45">
      <c r="E8" s="22"/>
      <c r="G8" s="25"/>
      <c r="H8" s="22"/>
      <c r="J8" s="21"/>
      <c r="K8" s="22"/>
    </row>
    <row r="9" spans="2:13" ht="25.2" customHeight="1" thickBot="1" x14ac:dyDescent="0.5">
      <c r="B9" s="10" t="s">
        <v>40</v>
      </c>
      <c r="E9" s="22"/>
      <c r="G9" s="25"/>
      <c r="H9" s="22"/>
      <c r="J9" s="21"/>
      <c r="K9" s="22"/>
      <c r="M9" s="15" t="s">
        <v>36</v>
      </c>
    </row>
    <row r="10" spans="2:13" ht="19.2" thickBot="1" x14ac:dyDescent="0.5">
      <c r="B10" s="16">
        <v>0.52</v>
      </c>
      <c r="E10" s="22"/>
      <c r="G10" s="21"/>
      <c r="H10" s="22"/>
      <c r="J10" s="21"/>
      <c r="K10" s="22"/>
      <c r="M10" s="17">
        <f>+TablaF_ManoDeObra[[#Totals],[COSTO($)]]</f>
        <v>0.89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44</v>
      </c>
    </row>
    <row r="13" spans="2:13" ht="19.2" thickBot="1" x14ac:dyDescent="0.5">
      <c r="B13" s="18" t="s">
        <v>65</v>
      </c>
      <c r="E13" s="22"/>
      <c r="G13" s="21"/>
      <c r="H13" s="22"/>
      <c r="J13" s="21"/>
      <c r="K13" s="22"/>
      <c r="M13" s="17">
        <f>+M4+M7+M10</f>
        <v>1.7919999999999998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45</v>
      </c>
    </row>
    <row r="16" spans="2:13" ht="29.4" customHeight="1" thickBot="1" x14ac:dyDescent="0.5">
      <c r="D16" s="21" t="s">
        <v>37</v>
      </c>
      <c r="E16" s="22">
        <f>SUBTOTAL(109,TablaF_Materiales[COSTO($)])</f>
        <v>0.313</v>
      </c>
      <c r="G16" s="23" t="s">
        <v>37</v>
      </c>
      <c r="H16" s="24">
        <f>SUBTOTAL(109,TablaF_Servicios[COSTO($)])</f>
        <v>0.58899999999999997</v>
      </c>
      <c r="J16" s="21" t="s">
        <v>37</v>
      </c>
      <c r="K16" s="22">
        <f>SUBTOTAL(109,TablaF_ManoDeObra[COSTO($)])</f>
        <v>0.89</v>
      </c>
      <c r="M16" s="17">
        <f>M13*(1+B10)</f>
        <v>2.7238399999999996</v>
      </c>
    </row>
    <row r="17" ht="10.199999999999999" customHeight="1" x14ac:dyDescent="0.3"/>
  </sheetData>
  <dataValidations count="5">
    <dataValidation type="list" allowBlank="1" showInputMessage="1" showErrorMessage="1" sqref="J14 J4 J5 J6 J7 J8 J9 J10 J11 J12 J13 J15" xr:uid="{6BFFB66B-5CD5-4BFF-915D-E44629AA4C58}">
      <formula1>"PETRA,ROMINA"</formula1>
    </dataValidation>
    <dataValidation type="list" allowBlank="1" showInputMessage="1" showErrorMessage="1" sqref="B13" xr:uid="{FE160879-744E-4998-B202-98C00ECD59A6}">
      <formula1>"COLLAR DE PERLAS,PULSERA MINIMALISTA,PULSERA OVALADA,ZARCILLOS SOLITARIO"</formula1>
    </dataValidation>
    <dataValidation type="list" allowBlank="1" showInputMessage="1" showErrorMessage="1" sqref="D13 D14 D4 D5 D6 D7 D8 D9 D10 D11 D12 D15" xr:uid="{CE38D41E-B9B0-4953-8E4E-EA5CBE706127}">
      <formula1>"ALAMBRE,BOLSA,BROCHE,PERLAS,PIEDRAS CUARZO,PIEDRAS ROJAS,TAPAS,TARJETA"</formula1>
    </dataValidation>
    <dataValidation type="list" allowBlank="1" showInputMessage="1" showErrorMessage="1" sqref="G13 G14 G4 G5 G6 G7 G8 G9 G10 G11 G12 G15" xr:uid="{284417E8-7A56-4D7D-8015-715308A404BB}">
      <formula1>"GASOLINA,INTERNET,TELÉFONO"</formula1>
    </dataValidation>
    <dataValidation type="list" allowBlank="1" showInputMessage="1" showErrorMessage="1" sqref="B7" xr:uid="{1BE9C2C0-5DCF-4593-840B-803591687164}">
      <formula1>"COLLARES,PULSERAS,ZARCILLOS"</formula1>
    </dataValidation>
  </dataValidations>
  <hyperlinks>
    <hyperlink ref="D4" display="PIEDRAS CUARZO" xr:uid="{B12112B6-F651-4A50-8F41-C065D0D6586A}"/>
    <hyperlink ref="D5" display="ALAMBRE" xr:uid="{0D44F304-1E36-4332-8D99-F8378A12BA8B}"/>
    <hyperlink ref="G4" display="INTERNET" xr:uid="{C1953F01-69B9-4E72-BC88-F8D516AA80A7}"/>
    <hyperlink ref="G5" display="GASOLINA" xr:uid="{5ECEDEB4-A9AD-43EA-ACFB-AC15A2FBC5C6}"/>
    <hyperlink ref="J4" display="ROMINA" xr:uid="{3D9E5889-A581-4C1A-AFFE-13C7E3CC1A14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2187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27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21875" customWidth="1"/>
    <col min="4" max="4" width="22.21875" customWidth="1"/>
    <col min="5" max="5" width="21.5546875" customWidth="1"/>
    <col min="6" max="6" width="23.6640625" customWidth="1"/>
    <col min="7" max="7" width="23.2187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7773437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100</v>
      </c>
      <c r="G1" s="1" t="s">
        <v>5</v>
      </c>
      <c r="H1" t="s">
        <v>97</v>
      </c>
      <c r="I1" s="2" t="s">
        <v>8</v>
      </c>
      <c r="J1" s="1" t="s">
        <v>4</v>
      </c>
      <c r="K1" s="1" t="s">
        <v>6</v>
      </c>
      <c r="L1" s="1" t="s">
        <v>101</v>
      </c>
      <c r="M1" s="1" t="s">
        <v>7</v>
      </c>
      <c r="N1" t="s">
        <v>98</v>
      </c>
      <c r="O1" t="s">
        <v>13</v>
      </c>
      <c r="P1" s="1" t="s">
        <v>9</v>
      </c>
      <c r="Q1" s="1" t="s">
        <v>10</v>
      </c>
      <c r="R1" s="1" t="s">
        <v>102</v>
      </c>
      <c r="S1" s="1" t="s">
        <v>11</v>
      </c>
      <c r="T1" t="s">
        <v>99</v>
      </c>
      <c r="U1" t="s">
        <v>12</v>
      </c>
      <c r="V1" t="s">
        <v>16</v>
      </c>
    </row>
    <row r="2" spans="1:22" x14ac:dyDescent="0.3">
      <c r="A2" t="s">
        <v>47</v>
      </c>
      <c r="B2" t="s">
        <v>63</v>
      </c>
      <c r="C2" t="s">
        <v>0</v>
      </c>
      <c r="D2" t="s">
        <v>56</v>
      </c>
      <c r="I2" s="3">
        <v>0.3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47</v>
      </c>
      <c r="B3" t="s">
        <v>63</v>
      </c>
      <c r="C3" t="s">
        <v>0</v>
      </c>
      <c r="D3" t="s">
        <v>53</v>
      </c>
      <c r="I3" s="3">
        <v>0.23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47</v>
      </c>
      <c r="B4" t="s">
        <v>63</v>
      </c>
      <c r="C4" t="s">
        <v>0</v>
      </c>
      <c r="D4" t="s">
        <v>60</v>
      </c>
      <c r="I4" s="3">
        <v>0.3</v>
      </c>
      <c r="O4">
        <f>IFERROR(FactTable[[#This Row],[cantidadUsadaServicio]]*FactTable[[#This Row],[costoServicio$]]/FactTable[[#This Row],[unidadUsadaServicio]],0)</f>
        <v>0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47</v>
      </c>
      <c r="B5" t="s">
        <v>63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66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47</v>
      </c>
      <c r="B6" t="s">
        <v>63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62</v>
      </c>
      <c r="U6" s="3">
        <v>0.8</v>
      </c>
    </row>
    <row r="7" spans="1:22" x14ac:dyDescent="0.3">
      <c r="A7" t="s">
        <v>47</v>
      </c>
      <c r="B7" t="s">
        <v>63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0.51</v>
      </c>
    </row>
    <row r="8" spans="1:22" x14ac:dyDescent="0.3">
      <c r="A8" t="s">
        <v>59</v>
      </c>
      <c r="B8" t="s">
        <v>67</v>
      </c>
      <c r="C8" t="s">
        <v>0</v>
      </c>
      <c r="D8" t="s">
        <v>60</v>
      </c>
      <c r="I8" s="3">
        <v>1.25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59</v>
      </c>
      <c r="B9" t="s">
        <v>67</v>
      </c>
      <c r="C9" t="s">
        <v>0</v>
      </c>
      <c r="D9" t="s">
        <v>56</v>
      </c>
      <c r="I9" s="3">
        <v>2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59</v>
      </c>
      <c r="B10" t="s">
        <v>67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66</v>
      </c>
      <c r="O10">
        <v>0.25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59</v>
      </c>
      <c r="B11" t="s">
        <v>67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61</v>
      </c>
      <c r="O11">
        <v>0.2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59</v>
      </c>
      <c r="B12" t="s">
        <v>67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62</v>
      </c>
      <c r="U12" s="3">
        <v>0.37</v>
      </c>
    </row>
    <row r="13" spans="1:22" x14ac:dyDescent="0.3">
      <c r="A13" t="s">
        <v>59</v>
      </c>
      <c r="B13" t="s">
        <v>67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0.6</v>
      </c>
    </row>
    <row r="14" spans="1:22" x14ac:dyDescent="0.3">
      <c r="A14" t="s">
        <v>46</v>
      </c>
      <c r="B14" t="s">
        <v>71</v>
      </c>
      <c r="C14" t="s">
        <v>0</v>
      </c>
      <c r="D14" t="s">
        <v>56</v>
      </c>
      <c r="I14" s="3">
        <v>0.04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46</v>
      </c>
      <c r="B15" t="s">
        <v>71</v>
      </c>
      <c r="C15" t="s">
        <v>0</v>
      </c>
      <c r="D15" t="s">
        <v>68</v>
      </c>
      <c r="I15" s="3">
        <v>0.2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46</v>
      </c>
      <c r="B16" t="s">
        <v>71</v>
      </c>
      <c r="C16" t="s">
        <v>0</v>
      </c>
      <c r="D16" t="s">
        <v>70</v>
      </c>
      <c r="I16" s="3">
        <v>0.01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46</v>
      </c>
      <c r="B17" t="s">
        <v>71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66</v>
      </c>
      <c r="O17">
        <v>0.03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46</v>
      </c>
      <c r="B18" t="s">
        <v>71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64</v>
      </c>
      <c r="O18">
        <v>0.08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46</v>
      </c>
      <c r="B19" t="s">
        <v>71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61</v>
      </c>
      <c r="O19">
        <v>0.02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46</v>
      </c>
      <c r="B20" t="s">
        <v>71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62</v>
      </c>
      <c r="U20" s="3">
        <v>0.37</v>
      </c>
    </row>
    <row r="21" spans="1:22" x14ac:dyDescent="0.3">
      <c r="A21" t="s">
        <v>46</v>
      </c>
      <c r="B21" t="s">
        <v>71</v>
      </c>
      <c r="C21" t="s">
        <v>15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U21" s="3">
        <f>IFERROR(FactTable[[#This Row],[cantidadUsadaManoObra]]*FactTable[[#This Row],[costoManoObra$]]/FactTable[[#This Row],[unidadUsadaManoObra]],0)</f>
        <v>0</v>
      </c>
      <c r="V21">
        <v>0.3</v>
      </c>
    </row>
    <row r="22" spans="1:22" x14ac:dyDescent="0.3">
      <c r="A22" t="s">
        <v>65</v>
      </c>
      <c r="B22" t="s">
        <v>63</v>
      </c>
      <c r="C22" t="s">
        <v>0</v>
      </c>
      <c r="D22" t="s">
        <v>52</v>
      </c>
      <c r="I22" s="3">
        <v>0.2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</row>
    <row r="23" spans="1:22" x14ac:dyDescent="0.3">
      <c r="A23" t="s">
        <v>65</v>
      </c>
      <c r="B23" t="s">
        <v>63</v>
      </c>
      <c r="C23" t="s">
        <v>0</v>
      </c>
      <c r="D23" t="s">
        <v>56</v>
      </c>
      <c r="I23" s="3">
        <v>0.113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65</v>
      </c>
      <c r="B24" t="s">
        <v>63</v>
      </c>
      <c r="C24" t="s">
        <v>1</v>
      </c>
      <c r="I24" s="3">
        <f>IFERROR(FactTable[[#This Row],[cantidadUsadaMaterial]]*FactTable[[#This Row],[costoMaterial$]]/FactTable[[#This Row],[unidadUsadaMaterial]],0)</f>
        <v>0</v>
      </c>
      <c r="J24" t="s">
        <v>66</v>
      </c>
      <c r="O24">
        <v>0.5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65</v>
      </c>
      <c r="B25" t="s">
        <v>63</v>
      </c>
      <c r="C25" t="s">
        <v>1</v>
      </c>
      <c r="I25" s="3">
        <f>IFERROR(FactTable[[#This Row],[cantidadUsadaMaterial]]*FactTable[[#This Row],[costoMaterial$]]/FactTable[[#This Row],[unidadUsadaMaterial]],0)</f>
        <v>0</v>
      </c>
      <c r="J25" t="s">
        <v>61</v>
      </c>
      <c r="O25">
        <v>8.8999999999999996E-2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65</v>
      </c>
      <c r="B26" t="s">
        <v>63</v>
      </c>
      <c r="C26" t="s">
        <v>2</v>
      </c>
      <c r="I26" s="3">
        <f>IFERROR(FactTable[[#This Row],[cantidadUsadaMaterial]]*FactTable[[#This Row],[costoMaterial$]]/FactTable[[#This Row],[unidadUsadaMaterial]],0)</f>
        <v>0</v>
      </c>
      <c r="O26">
        <f>IFERROR(FactTable[[#This Row],[cantidadUsadaServicio]]*FactTable[[#This Row],[costoServicio$]]/FactTable[[#This Row],[unidadUsadaServicio]],0)</f>
        <v>0</v>
      </c>
      <c r="P26" t="s">
        <v>62</v>
      </c>
      <c r="U26" s="3">
        <v>0.89</v>
      </c>
    </row>
    <row r="27" spans="1:22" x14ac:dyDescent="0.3">
      <c r="A27" t="s">
        <v>65</v>
      </c>
      <c r="B27" t="s">
        <v>63</v>
      </c>
      <c r="C27" t="s">
        <v>15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U27" s="3">
        <f>IFERROR(FactTable[[#This Row],[cantidadUsadaManoObra]]*FactTable[[#This Row],[costoManoObra$]]/FactTable[[#This Row],[unidadUsadaManoObra]],0)</f>
        <v>0</v>
      </c>
      <c r="V27">
        <v>0.52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5.6640625" bestFit="1" customWidth="1"/>
    <col min="2" max="2" width="19.6640625" bestFit="1" customWidth="1"/>
    <col min="3" max="3" width="8.5546875" bestFit="1" customWidth="1"/>
    <col min="4" max="4" width="13.21875" bestFit="1" customWidth="1"/>
    <col min="5" max="5" width="10.77734375" bestFit="1" customWidth="1"/>
    <col min="7" max="7" width="21.77734375" customWidth="1"/>
    <col min="8" max="8" width="15.5546875" customWidth="1"/>
  </cols>
  <sheetData>
    <row r="1" spans="1:11" x14ac:dyDescent="0.3">
      <c r="A1" s="4" t="s">
        <v>27</v>
      </c>
      <c r="B1" t="s">
        <v>65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>
        <v>0</v>
      </c>
      <c r="D4" s="3">
        <v>0.89</v>
      </c>
      <c r="G4" t="s">
        <v>18</v>
      </c>
      <c r="H4" s="7">
        <f>B8+C8+D8</f>
        <v>1.7919999999999998</v>
      </c>
      <c r="J4" t="str">
        <f>B3</f>
        <v>Materiales</v>
      </c>
      <c r="K4" s="7">
        <f>B8</f>
        <v>0.313</v>
      </c>
    </row>
    <row r="5" spans="1:11" x14ac:dyDescent="0.3">
      <c r="A5" s="5" t="s">
        <v>15</v>
      </c>
      <c r="B5" s="3">
        <v>0</v>
      </c>
      <c r="C5">
        <v>0</v>
      </c>
      <c r="D5" s="3">
        <v>0</v>
      </c>
      <c r="E5">
        <v>0.52</v>
      </c>
      <c r="G5" t="s">
        <v>19</v>
      </c>
      <c r="H5" s="9">
        <f>H4*E8</f>
        <v>0.93183999999999989</v>
      </c>
      <c r="J5" t="str">
        <f>C3</f>
        <v>Servicios</v>
      </c>
      <c r="K5" s="7">
        <f>C8</f>
        <v>0.58899999999999997</v>
      </c>
    </row>
    <row r="6" spans="1:11" x14ac:dyDescent="0.3">
      <c r="A6" s="5" t="s">
        <v>0</v>
      </c>
      <c r="B6" s="3">
        <v>0.313</v>
      </c>
      <c r="C6">
        <v>0</v>
      </c>
      <c r="D6" s="3">
        <v>0</v>
      </c>
      <c r="G6" t="s">
        <v>20</v>
      </c>
      <c r="H6" s="7">
        <f>SUM(H4:H5)</f>
        <v>2.7238399999999996</v>
      </c>
      <c r="J6" t="str">
        <f>D3</f>
        <v>Mano de Obra</v>
      </c>
      <c r="K6" s="7">
        <f>D8</f>
        <v>0.89</v>
      </c>
    </row>
    <row r="7" spans="1:11" x14ac:dyDescent="0.3">
      <c r="A7" s="5" t="s">
        <v>1</v>
      </c>
      <c r="B7" s="3">
        <v>0</v>
      </c>
      <c r="C7">
        <v>0.58899999999999997</v>
      </c>
      <c r="D7" s="3">
        <v>0</v>
      </c>
    </row>
    <row r="8" spans="1:11" x14ac:dyDescent="0.3">
      <c r="A8" s="5" t="s">
        <v>17</v>
      </c>
      <c r="B8" s="7">
        <v>0.313</v>
      </c>
      <c r="C8" s="7">
        <v>0.58899999999999997</v>
      </c>
      <c r="D8" s="7">
        <v>0.89</v>
      </c>
      <c r="E8" s="8">
        <v>0.52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B17" sqref="B17"/>
    </sheetView>
  </sheetViews>
  <sheetFormatPr baseColWidth="10" defaultRowHeight="14.4" x14ac:dyDescent="0.3"/>
  <cols>
    <col min="1" max="1" width="30.77734375" bestFit="1" customWidth="1"/>
    <col min="2" max="2" width="25.2187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72</v>
      </c>
      <c r="B1" s="14" t="s">
        <v>50</v>
      </c>
      <c r="C1" s="14" t="s">
        <v>85</v>
      </c>
      <c r="D1" s="14" t="s">
        <v>90</v>
      </c>
    </row>
    <row r="2" spans="1:4" ht="18.600000000000001" x14ac:dyDescent="0.45">
      <c r="A2" s="14" t="s">
        <v>73</v>
      </c>
      <c r="B2" s="14" t="s">
        <v>78</v>
      </c>
      <c r="C2" s="14" t="s">
        <v>77</v>
      </c>
      <c r="D2" s="14">
        <v>1</v>
      </c>
    </row>
    <row r="3" spans="1:4" ht="18.600000000000001" x14ac:dyDescent="0.45">
      <c r="A3" s="14" t="s">
        <v>48</v>
      </c>
      <c r="B3" s="14" t="s">
        <v>48</v>
      </c>
      <c r="C3" s="14" t="s">
        <v>86</v>
      </c>
      <c r="D3" s="14">
        <v>1</v>
      </c>
    </row>
    <row r="4" spans="1:4" ht="18.600000000000001" x14ac:dyDescent="0.45">
      <c r="A4" s="14" t="s">
        <v>74</v>
      </c>
      <c r="B4" s="14" t="s">
        <v>113</v>
      </c>
      <c r="C4" s="14" t="s">
        <v>89</v>
      </c>
      <c r="D4" s="14">
        <v>1</v>
      </c>
    </row>
    <row r="5" spans="1:4" ht="18.600000000000001" x14ac:dyDescent="0.45">
      <c r="A5" s="14" t="s">
        <v>73</v>
      </c>
      <c r="B5" s="14" t="s">
        <v>95</v>
      </c>
      <c r="C5" s="14" t="s">
        <v>77</v>
      </c>
      <c r="D5" s="14">
        <v>2</v>
      </c>
    </row>
    <row r="6" spans="1:4" ht="18.600000000000001" x14ac:dyDescent="0.45">
      <c r="A6" s="14" t="s">
        <v>73</v>
      </c>
      <c r="B6" s="14" t="s">
        <v>96</v>
      </c>
      <c r="C6" s="14" t="s">
        <v>77</v>
      </c>
      <c r="D6" s="14">
        <v>3</v>
      </c>
    </row>
    <row r="7" spans="1:4" ht="18.600000000000001" x14ac:dyDescent="0.45">
      <c r="A7" s="14" t="s">
        <v>74</v>
      </c>
      <c r="B7" s="14" t="s">
        <v>109</v>
      </c>
      <c r="C7" s="14" t="s">
        <v>89</v>
      </c>
      <c r="D7" s="14">
        <v>2</v>
      </c>
    </row>
    <row r="8" spans="1:4" ht="18.600000000000001" x14ac:dyDescent="0.45">
      <c r="A8" s="14" t="s">
        <v>75</v>
      </c>
      <c r="B8" s="14" t="s">
        <v>105</v>
      </c>
      <c r="C8" s="14" t="s">
        <v>87</v>
      </c>
      <c r="D8" s="14">
        <v>2</v>
      </c>
    </row>
    <row r="9" spans="1:4" ht="18.600000000000001" x14ac:dyDescent="0.45">
      <c r="A9" s="14" t="s">
        <v>76</v>
      </c>
      <c r="B9" s="14" t="s">
        <v>79</v>
      </c>
      <c r="C9" s="14" t="s">
        <v>88</v>
      </c>
      <c r="D9" s="14">
        <v>5</v>
      </c>
    </row>
    <row r="10" spans="1:4" ht="18.600000000000001" x14ac:dyDescent="0.45">
      <c r="A10" s="14" t="s">
        <v>76</v>
      </c>
      <c r="B10" s="14" t="s">
        <v>80</v>
      </c>
      <c r="C10" s="14" t="s">
        <v>88</v>
      </c>
      <c r="D10" s="14">
        <v>4</v>
      </c>
    </row>
    <row r="11" spans="1:4" ht="18.600000000000001" x14ac:dyDescent="0.45">
      <c r="A11" s="14" t="s">
        <v>76</v>
      </c>
      <c r="B11" s="14" t="s">
        <v>81</v>
      </c>
      <c r="C11" s="14" t="s">
        <v>88</v>
      </c>
      <c r="D11" s="14">
        <v>6</v>
      </c>
    </row>
    <row r="12" spans="1:4" ht="18.600000000000001" x14ac:dyDescent="0.45">
      <c r="A12" s="14" t="s">
        <v>76</v>
      </c>
      <c r="B12" s="14" t="s">
        <v>82</v>
      </c>
      <c r="C12" s="14" t="s">
        <v>88</v>
      </c>
      <c r="D12" s="14">
        <v>7</v>
      </c>
    </row>
    <row r="13" spans="1:4" ht="18.600000000000001" x14ac:dyDescent="0.45">
      <c r="A13" s="14" t="s">
        <v>76</v>
      </c>
      <c r="B13" s="14" t="s">
        <v>83</v>
      </c>
      <c r="C13" s="14" t="s">
        <v>88</v>
      </c>
      <c r="D13" s="14">
        <v>3</v>
      </c>
    </row>
    <row r="14" spans="1:4" ht="18.600000000000001" x14ac:dyDescent="0.45">
      <c r="A14" s="14" t="s">
        <v>76</v>
      </c>
      <c r="B14" s="14" t="s">
        <v>84</v>
      </c>
      <c r="C14" s="14" t="s">
        <v>88</v>
      </c>
      <c r="D14" s="14">
        <v>2</v>
      </c>
    </row>
    <row r="15" spans="1:4" ht="18.600000000000001" x14ac:dyDescent="0.45">
      <c r="A15" s="14" t="s">
        <v>76</v>
      </c>
      <c r="B15" s="14" t="s">
        <v>110</v>
      </c>
      <c r="C15" s="14" t="s">
        <v>88</v>
      </c>
      <c r="D15" s="14">
        <v>1</v>
      </c>
    </row>
    <row r="16" spans="1:4" ht="18.600000000000001" x14ac:dyDescent="0.45">
      <c r="A16" s="14" t="s">
        <v>75</v>
      </c>
      <c r="B16" s="14" t="s">
        <v>114</v>
      </c>
      <c r="C16" s="14" t="s">
        <v>87</v>
      </c>
      <c r="D16" s="14">
        <v>1</v>
      </c>
    </row>
    <row r="17" spans="1:4" ht="18.600000000000001" x14ac:dyDescent="0.45">
      <c r="A17" s="14" t="s">
        <v>75</v>
      </c>
      <c r="B17" s="14" t="s">
        <v>106</v>
      </c>
      <c r="C17" s="14" t="s">
        <v>87</v>
      </c>
      <c r="D17" s="14">
        <v>5</v>
      </c>
    </row>
    <row r="18" spans="1:4" ht="18.600000000000001" x14ac:dyDescent="0.45">
      <c r="A18" s="14" t="s">
        <v>91</v>
      </c>
      <c r="B18" s="14" t="s">
        <v>92</v>
      </c>
      <c r="C18" s="14" t="s">
        <v>93</v>
      </c>
      <c r="D18" s="14">
        <v>1</v>
      </c>
    </row>
    <row r="19" spans="1:4" ht="18.600000000000001" x14ac:dyDescent="0.45">
      <c r="A19" s="14" t="s">
        <v>74</v>
      </c>
      <c r="B19" s="14" t="s">
        <v>111</v>
      </c>
      <c r="C19" s="14" t="s">
        <v>89</v>
      </c>
      <c r="D19" s="14">
        <v>3</v>
      </c>
    </row>
    <row r="20" spans="1:4" ht="18.600000000000001" x14ac:dyDescent="0.45">
      <c r="A20" s="14" t="s">
        <v>74</v>
      </c>
      <c r="B20" s="14" t="s">
        <v>112</v>
      </c>
      <c r="C20" s="14" t="s">
        <v>89</v>
      </c>
      <c r="D20" s="14">
        <v>4</v>
      </c>
    </row>
    <row r="21" spans="1:4" ht="18.600000000000001" x14ac:dyDescent="0.45">
      <c r="A21" s="14" t="s">
        <v>75</v>
      </c>
      <c r="B21" s="14" t="s">
        <v>107</v>
      </c>
      <c r="C21" s="14" t="s">
        <v>87</v>
      </c>
      <c r="D21" s="14">
        <v>3</v>
      </c>
    </row>
    <row r="22" spans="1:4" ht="18.600000000000001" x14ac:dyDescent="0.45">
      <c r="A22" s="14" t="s">
        <v>75</v>
      </c>
      <c r="B22" s="14" t="s">
        <v>108</v>
      </c>
      <c r="C22" s="14" t="s">
        <v>87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D9"/>
  <sheetViews>
    <sheetView workbookViewId="0">
      <selection activeCell="B34" sqref="B34"/>
    </sheetView>
  </sheetViews>
  <sheetFormatPr baseColWidth="10" defaultRowHeight="18.600000000000001" x14ac:dyDescent="0.45"/>
  <cols>
    <col min="1" max="1" width="23.77734375" style="14" bestFit="1" customWidth="1"/>
    <col min="2" max="2" width="13.44140625" style="14" bestFit="1" customWidth="1"/>
    <col min="3" max="3" width="16.6640625" style="14" bestFit="1" customWidth="1"/>
    <col min="4" max="4" width="12.88671875" style="14" bestFit="1" customWidth="1"/>
    <col min="5" max="16384" width="11.5546875" style="14"/>
  </cols>
  <sheetData>
    <row r="1" spans="1:4" x14ac:dyDescent="0.45">
      <c r="A1" s="14" t="s">
        <v>31</v>
      </c>
      <c r="B1" s="14" t="s">
        <v>48</v>
      </c>
      <c r="C1" s="14" t="s">
        <v>49</v>
      </c>
      <c r="D1" s="14" t="s">
        <v>45</v>
      </c>
    </row>
    <row r="2" spans="1:4" x14ac:dyDescent="0.45">
      <c r="A2" s="14" t="s">
        <v>51</v>
      </c>
    </row>
    <row r="3" spans="1:4" x14ac:dyDescent="0.45">
      <c r="A3" s="14" t="s">
        <v>52</v>
      </c>
    </row>
    <row r="4" spans="1:4" x14ac:dyDescent="0.45">
      <c r="A4" s="14" t="s">
        <v>60</v>
      </c>
    </row>
    <row r="5" spans="1:4" x14ac:dyDescent="0.45">
      <c r="A5" s="14" t="s">
        <v>56</v>
      </c>
    </row>
    <row r="6" spans="1:4" x14ac:dyDescent="0.45">
      <c r="A6" s="14" t="s">
        <v>53</v>
      </c>
    </row>
    <row r="7" spans="1:4" x14ac:dyDescent="0.45">
      <c r="A7" s="14" t="s">
        <v>69</v>
      </c>
    </row>
    <row r="8" spans="1:4" x14ac:dyDescent="0.45">
      <c r="A8" s="14" t="s">
        <v>68</v>
      </c>
    </row>
    <row r="9" spans="1:4" x14ac:dyDescent="0.45">
      <c r="A9" s="14" t="s">
        <v>70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D4"/>
  <sheetViews>
    <sheetView workbookViewId="0">
      <selection activeCell="B2" sqref="B2"/>
    </sheetView>
  </sheetViews>
  <sheetFormatPr baseColWidth="10" defaultRowHeight="14.4" x14ac:dyDescent="0.3"/>
  <cols>
    <col min="1" max="1" width="23.33203125" bestFit="1" customWidth="1"/>
    <col min="2" max="2" width="23.6640625" customWidth="1"/>
    <col min="3" max="3" width="24.109375" customWidth="1"/>
    <col min="4" max="4" width="12.88671875" bestFit="1" customWidth="1"/>
  </cols>
  <sheetData>
    <row r="1" spans="1:4" ht="18.600000000000001" x14ac:dyDescent="0.45">
      <c r="A1" s="14" t="s">
        <v>32</v>
      </c>
      <c r="B1" s="14" t="s">
        <v>48</v>
      </c>
      <c r="C1" s="14" t="s">
        <v>49</v>
      </c>
      <c r="D1" s="14" t="s">
        <v>45</v>
      </c>
    </row>
    <row r="2" spans="1:4" ht="18.600000000000001" x14ac:dyDescent="0.45">
      <c r="A2" s="14" t="s">
        <v>61</v>
      </c>
      <c r="B2" s="14"/>
      <c r="C2" s="14"/>
      <c r="D2" s="14"/>
    </row>
    <row r="3" spans="1:4" ht="18.600000000000001" x14ac:dyDescent="0.45">
      <c r="A3" s="14" t="s">
        <v>64</v>
      </c>
      <c r="B3" s="14"/>
      <c r="C3" s="14"/>
      <c r="D3" s="14"/>
    </row>
    <row r="4" spans="1:4" ht="18.600000000000001" x14ac:dyDescent="0.45">
      <c r="A4" s="14" t="s">
        <v>66</v>
      </c>
      <c r="B4" s="14"/>
      <c r="C4" s="14"/>
      <c r="D4" s="1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D3"/>
  <sheetViews>
    <sheetView workbookViewId="0">
      <selection activeCell="B2" sqref="B2"/>
    </sheetView>
  </sheetViews>
  <sheetFormatPr baseColWidth="10" defaultColWidth="12.77734375" defaultRowHeight="14.4" x14ac:dyDescent="0.3"/>
  <cols>
    <col min="1" max="1" width="24.33203125" customWidth="1"/>
    <col min="2" max="2" width="20" customWidth="1"/>
    <col min="3" max="3" width="21.77734375" customWidth="1"/>
    <col min="4" max="4" width="16.109375" customWidth="1"/>
  </cols>
  <sheetData>
    <row r="1" spans="1:4" ht="18.600000000000001" x14ac:dyDescent="0.45">
      <c r="A1" s="14" t="s">
        <v>36</v>
      </c>
      <c r="B1" s="14" t="s">
        <v>48</v>
      </c>
      <c r="C1" s="14" t="s">
        <v>49</v>
      </c>
      <c r="D1" s="14" t="s">
        <v>45</v>
      </c>
    </row>
    <row r="2" spans="1:4" ht="18.600000000000001" x14ac:dyDescent="0.45">
      <c r="A2" s="14" t="s">
        <v>62</v>
      </c>
      <c r="B2" s="14"/>
      <c r="C2" s="14"/>
      <c r="D2" s="14"/>
    </row>
    <row r="3" spans="1:4" ht="18.600000000000001" x14ac:dyDescent="0.45">
      <c r="A3" s="14" t="s">
        <v>94</v>
      </c>
      <c r="B3" s="14"/>
      <c r="C3" s="14"/>
      <c r="D3" s="1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4"/>
  <sheetViews>
    <sheetView workbookViewId="0">
      <selection activeCell="A5" sqref="A5"/>
    </sheetView>
  </sheetViews>
  <sheetFormatPr baseColWidth="10" defaultRowHeight="14.4" x14ac:dyDescent="0.3"/>
  <cols>
    <col min="1" max="1" width="33.77734375" customWidth="1"/>
  </cols>
  <sheetData>
    <row r="1" spans="1:1" ht="18.600000000000001" x14ac:dyDescent="0.45">
      <c r="A1" s="14" t="s">
        <v>39</v>
      </c>
    </row>
    <row r="2" spans="1:1" ht="18.600000000000001" x14ac:dyDescent="0.45">
      <c r="A2" s="14" t="s">
        <v>71</v>
      </c>
    </row>
    <row r="3" spans="1:1" ht="18.600000000000001" x14ac:dyDescent="0.45">
      <c r="A3" s="14" t="s">
        <v>63</v>
      </c>
    </row>
    <row r="4" spans="1:1" ht="18.600000000000001" x14ac:dyDescent="0.45">
      <c r="A4" s="14" t="s">
        <v>67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10"/>
  <sheetViews>
    <sheetView workbookViewId="0">
      <selection activeCell="B18" sqref="B18"/>
    </sheetView>
  </sheetViews>
  <sheetFormatPr baseColWidth="10" defaultColWidth="12.44140625" defaultRowHeight="14.4" x14ac:dyDescent="0.3"/>
  <cols>
    <col min="2" max="2" width="88.33203125" bestFit="1" customWidth="1"/>
    <col min="3" max="3" width="25.33203125" bestFit="1" customWidth="1"/>
  </cols>
  <sheetData>
    <row r="1" spans="1:3" x14ac:dyDescent="0.3">
      <c r="A1" t="s">
        <v>43</v>
      </c>
      <c r="B1" t="s">
        <v>103</v>
      </c>
      <c r="C1" t="s">
        <v>104</v>
      </c>
    </row>
    <row r="2" spans="1:3" x14ac:dyDescent="0.3">
      <c r="A2" t="s">
        <v>42</v>
      </c>
      <c r="B2" t="s">
        <v>41</v>
      </c>
    </row>
    <row r="3" spans="1:3" x14ac:dyDescent="0.3">
      <c r="A3" t="s">
        <v>54</v>
      </c>
      <c r="B3" t="s">
        <v>55</v>
      </c>
    </row>
    <row r="4" spans="1:3" x14ac:dyDescent="0.3">
      <c r="A4" t="s">
        <v>57</v>
      </c>
      <c r="B4" t="s">
        <v>58</v>
      </c>
    </row>
    <row r="5" spans="1:3" x14ac:dyDescent="0.3">
      <c r="A5">
        <v>424</v>
      </c>
      <c r="B5" t="s">
        <v>115</v>
      </c>
      <c r="C5" t="s">
        <v>116</v>
      </c>
    </row>
    <row r="6" spans="1:3" x14ac:dyDescent="0.3">
      <c r="A6">
        <v>424</v>
      </c>
      <c r="B6" t="s">
        <v>115</v>
      </c>
      <c r="C6" t="s">
        <v>116</v>
      </c>
    </row>
    <row r="7" spans="1:3" x14ac:dyDescent="0.3">
      <c r="A7">
        <v>424</v>
      </c>
      <c r="B7" t="s">
        <v>115</v>
      </c>
      <c r="C7" t="s">
        <v>116</v>
      </c>
    </row>
    <row r="8" spans="1:3" x14ac:dyDescent="0.3">
      <c r="A8">
        <v>424</v>
      </c>
      <c r="B8" t="s">
        <v>115</v>
      </c>
      <c r="C8" t="s">
        <v>116</v>
      </c>
    </row>
    <row r="9" spans="1:3" x14ac:dyDescent="0.3">
      <c r="A9">
        <v>424</v>
      </c>
      <c r="B9" t="s">
        <v>115</v>
      </c>
      <c r="C9" t="s">
        <v>116</v>
      </c>
    </row>
    <row r="10" spans="1:3" x14ac:dyDescent="0.3">
      <c r="A10">
        <v>1004</v>
      </c>
      <c r="B10" t="s">
        <v>117</v>
      </c>
      <c r="C10" t="s">
        <v>116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Formulario</vt:lpstr>
      <vt:lpstr>UNIDADES</vt:lpstr>
      <vt:lpstr>MATERIALES</vt:lpstr>
      <vt:lpstr>SERVICIOS</vt:lpstr>
      <vt:lpstr>MANO_DE_OBRA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2025-04-14T14:27:07Z</dcterms:modified>
</cp:coreProperties>
</file>