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66AE31BD-077E-4717-AB7A-F006D85A2985}" xr6:coauthVersionLast="47" xr6:coauthVersionMax="47" xr10:uidLastSave="{00000000-0000-0000-0000-000000000000}"/>
  <bookViews>
    <workbookView xWindow="-108" yWindow="-108" windowWidth="23256" windowHeight="12456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state="hidden" r:id="rId5"/>
    <sheet name="MATERIALES" sheetId="10" state="hidden" r:id="rId6"/>
    <sheet name="SERVICIOS" sheetId="17" state="hidden" r:id="rId7"/>
    <sheet name="MANO_DE_OBRA" sheetId="15" state="hidden" r:id="rId8"/>
    <sheet name="CATEGORIAS" sheetId="16" state="hidden" r:id="rId9"/>
    <sheet name="Notas" sheetId="9" state="hidden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8" i="2" l="1"/>
  <c r="O58" i="2"/>
  <c r="U58" i="2"/>
  <c r="I57" i="2"/>
  <c r="O57" i="2"/>
  <c r="I56" i="2"/>
  <c r="U56" i="2"/>
  <c r="I55" i="2"/>
  <c r="U55" i="2"/>
  <c r="I54" i="2"/>
  <c r="U54" i="2"/>
  <c r="I53" i="2"/>
  <c r="U53" i="2"/>
  <c r="O52" i="2"/>
  <c r="U52" i="2"/>
  <c r="O51" i="2"/>
  <c r="U51" i="2"/>
  <c r="O50" i="2"/>
  <c r="U50" i="2"/>
  <c r="O49" i="2"/>
  <c r="U49" i="2"/>
  <c r="O48" i="2"/>
  <c r="U48" i="2"/>
  <c r="O47" i="2"/>
  <c r="U47" i="2"/>
  <c r="I46" i="2"/>
  <c r="O46" i="2"/>
  <c r="U46" i="2"/>
  <c r="I45" i="2"/>
  <c r="O45" i="2"/>
  <c r="I44" i="2"/>
  <c r="U44" i="2"/>
  <c r="I43" i="2"/>
  <c r="U43" i="2"/>
  <c r="I42" i="2"/>
  <c r="U42" i="2"/>
  <c r="I41" i="2"/>
  <c r="U41" i="2"/>
  <c r="O40" i="2"/>
  <c r="U40" i="2"/>
  <c r="O39" i="2"/>
  <c r="U39" i="2"/>
  <c r="O38" i="2"/>
  <c r="U38" i="2"/>
  <c r="O37" i="2"/>
  <c r="U37" i="2"/>
  <c r="I36" i="2"/>
  <c r="O36" i="2"/>
  <c r="U36" i="2"/>
  <c r="I35" i="2"/>
  <c r="O35" i="2"/>
  <c r="I34" i="2"/>
  <c r="U34" i="2"/>
  <c r="I33" i="2"/>
  <c r="U33" i="2"/>
  <c r="I32" i="2"/>
  <c r="U32" i="2"/>
  <c r="O31" i="2"/>
  <c r="U31" i="2"/>
  <c r="O30" i="2"/>
  <c r="U30" i="2"/>
  <c r="O29" i="2"/>
  <c r="U29" i="2"/>
  <c r="I28" i="2"/>
  <c r="O28" i="2"/>
  <c r="U28" i="2"/>
  <c r="I27" i="2"/>
  <c r="O27" i="2"/>
  <c r="I26" i="2"/>
  <c r="U26" i="2"/>
  <c r="O25" i="2"/>
  <c r="U25" i="2"/>
  <c r="O24" i="2"/>
  <c r="U24" i="2"/>
  <c r="O23" i="2"/>
  <c r="U23" i="2"/>
  <c r="I22" i="2"/>
  <c r="O22" i="2"/>
  <c r="U22" i="2"/>
  <c r="I21" i="2"/>
  <c r="O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I4" i="2"/>
  <c r="U4" i="2"/>
  <c r="O3" i="2"/>
  <c r="U3" i="2"/>
  <c r="O2" i="2"/>
  <c r="U2" i="2"/>
  <c r="K16" i="6" l="1"/>
  <c r="H16" i="6"/>
  <c r="E16" i="6"/>
  <c r="K6" i="4"/>
  <c r="K5" i="4"/>
  <c r="K4" i="4"/>
  <c r="J6" i="4"/>
  <c r="J5" i="4"/>
  <c r="J4" i="4"/>
  <c r="H4" i="4"/>
  <c r="H5" i="4" s="1"/>
  <c r="M10" i="6" l="1"/>
  <c r="K33" i="6"/>
  <c r="M7" i="6"/>
  <c r="K32" i="6"/>
  <c r="M4" i="6"/>
  <c r="K31" i="6"/>
  <c r="H6" i="4"/>
  <c r="M13" i="6" l="1"/>
  <c r="M16" i="6" s="1"/>
</calcChain>
</file>

<file path=xl/sharedStrings.xml><?xml version="1.0" encoding="utf-8"?>
<sst xmlns="http://schemas.openxmlformats.org/spreadsheetml/2006/main" count="484" uniqueCount="141">
  <si>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</si>
  <si>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</si>
  <si>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</si>
  <si>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</si>
  <si>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</si>
  <si>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</si>
  <si>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</si>
  <si>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</si>
  <si>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</si>
  <si>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</si>
  <si>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</si>
  <si>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</si>
  <si>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</si>
  <si>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</si>
  <si>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</si>
  <si>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</si>
  <si>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</si>
  <si>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</si>
  <si>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</si>
  <si>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</si>
  <si>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</si>
  <si>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</si>
  <si>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</si>
  <si>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</si>
  <si>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</si>
  <si>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</si>
  <si>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</si>
  <si>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</si>
  <si>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</si>
  <si>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</si>
  <si>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</si>
  <si>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</si>
  <si>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</si>
  <si>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</si>
  <si>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</si>
  <si>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</si>
  <si>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</si>
  <si>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</si>
  <si>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Validar que Materiales, Servicio y Mano De Obra tengan datos antes de grabar. Ninguno puede estar vacio</t>
  </si>
  <si>
    <t>1.-</t>
  </si>
  <si>
    <t>Numero</t>
  </si>
  <si>
    <t>COSTO TOTAL</t>
  </si>
  <si>
    <t>PRECIO</t>
  </si>
  <si>
    <t>ZARCILLOS SOLITARIO</t>
  </si>
  <si>
    <t>PULSERA MINIMALISTA</t>
  </si>
  <si>
    <t>UNIDAD</t>
  </si>
  <si>
    <t>UNIDADES</t>
  </si>
  <si>
    <t>PIEDRAS ROJAS</t>
  </si>
  <si>
    <t>PIEDRAS CUARZO</t>
  </si>
  <si>
    <t>TARJETA</t>
  </si>
  <si>
    <t xml:space="preserve">2.- </t>
  </si>
  <si>
    <t>CrearListaDesplegableDesdeTabla está duplicada con otra subrutina. Dejas una sola</t>
  </si>
  <si>
    <t>ALAMBRE</t>
  </si>
  <si>
    <t>3.-</t>
  </si>
  <si>
    <t>Mayusculas en las listas de materiales al cargar en la TABLA MATERIALES DE FORMULARIO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</si>
  <si>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</si>
  <si>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</si>
  <si>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</si>
  <si>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</si>
  <si>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</si>
  <si>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</si>
  <si>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</si>
  <si>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</si>
  <si>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</si>
  <si>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</si>
  <si>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</si>
  <si>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</si>
  <si>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</si>
  <si>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</si>
  <si>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</si>
  <si>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</si>
  <si>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</si>
  <si>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</si>
  <si>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</si>
  <si>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</si>
  <si>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</si>
  <si>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</si>
  <si>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</si>
  <si>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</si>
  <si>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</si>
  <si>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</si>
  <si>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</si>
  <si>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</si>
  <si>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</si>
  <si>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</si>
  <si>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</si>
  <si>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</si>
  <si>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</si>
  <si>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</si>
  <si>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</si>
  <si>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</si>
  <si>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</si>
  <si>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</si>
  <si>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</si>
  <si>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</si>
  <si>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</si>
  <si>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</si>
  <si>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</si>
  <si>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</si>
  <si>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</si>
  <si>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</si>
  <si>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</si>
  <si>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</si>
  <si>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</si>
  <si>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</si>
  <si>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</si>
  <si>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</si>
  <si>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</si>
  <si>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</si>
  <si>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</si>
  <si>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</si>
  <si>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>MEDIDA DE COSTO</t>
  </si>
  <si>
    <t>CANTIDAD DE USO</t>
  </si>
  <si>
    <t>CANTIDAD COMPRADA</t>
  </si>
  <si>
    <t>MEDIDA DE USO</t>
  </si>
  <si>
    <t>CUERO</t>
  </si>
  <si>
    <t>PULSERA DE HOMBRE</t>
  </si>
  <si>
    <t>PULSERA ROMI</t>
  </si>
  <si>
    <t>CRISTALES</t>
  </si>
  <si>
    <t>CONTADOR</t>
  </si>
  <si>
    <t>ALAMBRE 18</t>
  </si>
  <si>
    <t>ALAMBRE 20</t>
  </si>
  <si>
    <t>ALAMBRE 22</t>
  </si>
  <si>
    <t>ALAMBRE 24</t>
  </si>
  <si>
    <t>ALAMBRE 28</t>
  </si>
  <si>
    <t>ZARCILLOS LIS</t>
  </si>
  <si>
    <t>ZACILLOS LIS</t>
  </si>
  <si>
    <t>HILO CHINO</t>
  </si>
  <si>
    <t>DIJE PLATA</t>
  </si>
  <si>
    <t>ROSARIO</t>
  </si>
  <si>
    <t>TERLENCA</t>
  </si>
  <si>
    <t>VITELA</t>
  </si>
  <si>
    <t>CRUZ</t>
  </si>
  <si>
    <t>BALINES</t>
  </si>
  <si>
    <t>COLLAR</t>
  </si>
  <si>
    <t>MOSTACILLA CALIBRADA</t>
  </si>
  <si>
    <t>GUAYA</t>
  </si>
  <si>
    <t>TAPA NUDOS</t>
  </si>
  <si>
    <t>GRAPAS</t>
  </si>
  <si>
    <t>ARGOLLAS</t>
  </si>
  <si>
    <t>BALIN 3MM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</si>
</sst>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$-540A]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  <fill>
      <patternFill patternType="solid">
        <fgColor theme="5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rgb="FF92D050"/>
        <bgColor theme="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2" fontId="4" fillId="0" borderId="0" xfId="0" applyNumberFormat="1" applyFont="1"/>
    <xf numFmtId="0" fontId="0" fillId="0" borderId="0" xfId="0" applyAlignment="1">
      <alignment horizontal="right"/>
    </xf>
    <xf numFmtId="0" fontId="8" fillId="7" borderId="5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9" xfId="0" applyFont="1" applyFill="1" applyBorder="1" applyAlignment="1">
      <alignment horizontal="left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0" fillId="0" borderId="0" xfId="3" applyFont="1"/>
  </cellXfs>
  <cellStyles count="4">
    <cellStyle name="Hipervínculo" xfId="2" builtinId="8"/>
    <cellStyle name="Millares" xfId="3" builtinId="3"/>
    <cellStyle name="Normal" xfId="0" builtinId="0"/>
    <cellStyle name="Porcentaje" xfId="1" builtinId="5"/>
  </cellStyles>
  <dxfs count="65"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Formulario!$J$31:$J$33</c:f>
              <c:strCache>
                <c:ptCount val="3"/>
                <c:pt idx="0">
                  <c:v>MATERIAL</c:v>
                </c:pt>
                <c:pt idx="1">
                  <c:v>SERVICIO</c:v>
                </c:pt>
                <c:pt idx="2">
                  <c:v>MANO DE OBRA</c:v>
                </c:pt>
              </c:strCache>
            </c:strRef>
          </c:cat>
          <c:val>
            <c:numRef>
              <c:f>Formulario!$K$31:$K$33</c:f>
              <c:numCache>
                <c:formatCode>[$$-540A]#,##0.00</c:formatCode>
                <c:ptCount val="3"/>
                <c:pt idx="0">
                  <c:v>3.25</c:v>
                </c:pt>
                <c:pt idx="1">
                  <c:v>0.45</c:v>
                </c:pt>
                <c:pt idx="2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3.25</c:v>
                </c:pt>
                <c:pt idx="1">
                  <c:v>0.45</c:v>
                </c:pt>
                <c:pt idx="2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3</xdr:col>
      <xdr:colOff>330834</xdr:colOff>
      <xdr:row>21</xdr:row>
      <xdr:rowOff>23229</xdr:rowOff>
    </xdr:from>
    <xdr:to>
      <xdr:col>7</xdr:col>
      <xdr:colOff>129273</xdr:colOff>
      <xdr:row>41</xdr:row>
      <xdr:rowOff>78900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403283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19896</xdr:colOff>
      <xdr:row>17</xdr:row>
      <xdr:rowOff>9525</xdr:rowOff>
    </xdr:from>
    <xdr:to>
      <xdr:col>13</xdr:col>
      <xdr:colOff>40640</xdr:colOff>
      <xdr:row>20</xdr:row>
      <xdr:rowOff>35718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234209" y="4462463"/>
          <a:ext cx="13153337" cy="5619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68980" y="274321"/>
          <a:ext cx="381000" cy="304800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8778240" y="274321"/>
          <a:ext cx="381000" cy="304800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63640" y="274320"/>
          <a:ext cx="381000" cy="304800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98920" cy="494347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$4,07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60%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$6,51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COLLAR DE PERLAS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$3,25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$0,45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$0,37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$2,44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Regueira" refreshedDate="45765.445784143521" createdVersion="8" refreshedVersion="7" minRefreshableVersion="3" recordCount="57" xr:uid="{FA38EBDB-6F6B-40E0-A39D-1DA259BE4882}">
  <cacheSource type="worksheet">
    <worksheetSource name="FactTable"/>
  </cacheSource>
  <cacheFields count="22">
    <cacheField name="nombreProducto" numFmtId="0">
      <sharedItems count="34">
        <s v="COLLAR DE PERLAS"/>
        <s v="PULSERA OVALADA"/>
        <s v="PULSERA MINIMALISTA"/>
        <s v="PULSERA DE HOMBRE"/>
        <s v="ZARCILLOS SOLITARIO"/>
        <s v="PULSERA ROMI"/>
        <s v="ZACILLOS LIS"/>
        <s v="PULSERA DE DIAMANTES" u="1"/>
        <s v="COLLAR CORTO" u="1"/>
        <s v="NUEVO COLLAR" u="1"/>
        <s v="NUEVO PRODUCTO" u="1"/>
        <s v="MAT 1" u="1"/>
        <s v="PULSERA DE ORO" u="1"/>
        <s v="OTRA PULSERA" u="1"/>
        <s v="Pulsera guacamaya 5" u="1"/>
        <s v="ZARCILLO SIMPLE" u="1"/>
        <s v="PULSERA DE DIAMANTES 2" u="1"/>
        <s v="OTRO ZARCILLO" u="1"/>
        <s v="Zarcillo solitario" u="1"/>
        <s v="PULSERA DE PERLAS ROJAS" u="1"/>
        <s v="PULSER GUACAMAYA" u="1"/>
        <s v="PRODUCTO DESDE CERO" u="1"/>
        <s v="COLLAR VERDE" u="1"/>
        <s v="NUEVO" u="1"/>
        <s v="COLLAR VERDE LIMON" u="1"/>
        <s v="PULSERA DE PERLAS BLANCAS" u="1"/>
        <s v="ZARCILLOS SOLITARIO DOBLE" u="1"/>
        <s v="PULSERA AMARILLA" u="1"/>
        <s v="PULSER GUACAMAYA 2" u="1"/>
        <s v="PULSER GUACAMAYA 3" u="1"/>
        <s v="PULSER GUACAMAYA 4" u="1"/>
        <s v="ZARCILLOS 1" u="1"/>
        <s v="fgfdg" u="1"/>
        <s v="PULSERA CELIA" u="1"/>
      </sharedItems>
    </cacheField>
    <cacheField name="categoriaProductos" numFmtId="0">
      <sharedItems count="4">
        <s v="COLLARES"/>
        <s v="PULSERAS"/>
        <s v="ZARCILLO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tring="0" containsBlank="1" containsNumber="1" minValue="0" maxValue="5.2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75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x v="0"/>
    <x v="0"/>
    <s v="BROCHE"/>
    <m/>
    <m/>
    <m/>
    <m/>
    <n v="1.25"/>
    <m/>
    <m/>
    <m/>
    <m/>
    <m/>
    <n v="0"/>
    <m/>
    <m/>
    <m/>
    <m/>
    <m/>
    <n v="0"/>
    <m/>
  </r>
  <r>
    <x v="0"/>
    <x v="0"/>
    <x v="0"/>
    <s v="ALAMBRE"/>
    <m/>
    <m/>
    <m/>
    <m/>
    <n v="2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5"/>
    <m/>
    <m/>
    <m/>
    <m/>
    <m/>
    <n v="0"/>
    <m/>
  </r>
  <r>
    <x v="0"/>
    <x v="0"/>
    <x v="1"/>
    <m/>
    <m/>
    <m/>
    <m/>
    <m/>
    <n v="0"/>
    <s v="GASOLINA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37"/>
    <m/>
  </r>
  <r>
    <x v="0"/>
    <x v="0"/>
    <x v="3"/>
    <m/>
    <m/>
    <m/>
    <m/>
    <m/>
    <n v="0"/>
    <m/>
    <m/>
    <m/>
    <m/>
    <m/>
    <n v="0"/>
    <m/>
    <m/>
    <m/>
    <m/>
    <m/>
    <n v="0"/>
    <n v="0.6"/>
  </r>
  <r>
    <x v="1"/>
    <x v="1"/>
    <x v="0"/>
    <s v="PIEDRAS CUARZO"/>
    <m/>
    <m/>
    <m/>
    <m/>
    <n v="0.2"/>
    <m/>
    <m/>
    <m/>
    <m/>
    <m/>
    <n v="0"/>
    <m/>
    <m/>
    <m/>
    <m/>
    <m/>
    <n v="0"/>
    <m/>
  </r>
  <r>
    <x v="1"/>
    <x v="1"/>
    <x v="0"/>
    <s v="ALAMBRE"/>
    <m/>
    <m/>
    <m/>
    <m/>
    <n v="0.113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5"/>
    <m/>
    <m/>
    <m/>
    <m/>
    <m/>
    <n v="0"/>
    <m/>
  </r>
  <r>
    <x v="1"/>
    <x v="1"/>
    <x v="1"/>
    <m/>
    <m/>
    <m/>
    <m/>
    <m/>
    <n v="0"/>
    <s v="GASOLINA"/>
    <m/>
    <m/>
    <m/>
    <m/>
    <n v="8.8999999999999996E-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89"/>
    <m/>
  </r>
  <r>
    <x v="1"/>
    <x v="1"/>
    <x v="3"/>
    <m/>
    <m/>
    <m/>
    <m/>
    <m/>
    <n v="0"/>
    <m/>
    <m/>
    <m/>
    <m/>
    <m/>
    <n v="0"/>
    <m/>
    <m/>
    <m/>
    <m/>
    <m/>
    <n v="0"/>
    <n v="0.52"/>
  </r>
  <r>
    <x v="2"/>
    <x v="1"/>
    <x v="0"/>
    <s v="ALAMBRE"/>
    <m/>
    <m/>
    <m/>
    <m/>
    <n v="0.113"/>
    <m/>
    <m/>
    <m/>
    <m/>
    <m/>
    <n v="0"/>
    <m/>
    <m/>
    <m/>
    <m/>
    <m/>
    <n v="0"/>
    <m/>
  </r>
  <r>
    <x v="2"/>
    <x v="1"/>
    <x v="0"/>
    <s v="TARJETA"/>
    <m/>
    <m/>
    <m/>
    <m/>
    <n v="0.23"/>
    <m/>
    <m/>
    <m/>
    <m/>
    <m/>
    <n v="0"/>
    <m/>
    <m/>
    <m/>
    <m/>
    <m/>
    <n v="0"/>
    <m/>
  </r>
  <r>
    <x v="2"/>
    <x v="1"/>
    <x v="0"/>
    <s v="BROCHE"/>
    <m/>
    <m/>
    <m/>
    <m/>
    <n v="0.3"/>
    <m/>
    <m/>
    <m/>
    <m/>
    <m/>
    <n v="0"/>
    <m/>
    <m/>
    <m/>
    <m/>
    <m/>
    <n v="0"/>
    <m/>
  </r>
  <r>
    <x v="2"/>
    <x v="1"/>
    <x v="1"/>
    <m/>
    <m/>
    <m/>
    <m/>
    <m/>
    <n v="0"/>
    <s v="INTERNET"/>
    <m/>
    <m/>
    <m/>
    <m/>
    <n v="5.25"/>
    <m/>
    <m/>
    <m/>
    <m/>
    <m/>
    <n v="0"/>
    <m/>
  </r>
  <r>
    <x v="2"/>
    <x v="1"/>
    <x v="1"/>
    <m/>
    <m/>
    <m/>
    <m/>
    <m/>
    <n v="0"/>
    <s v="TELÉFONO"/>
    <m/>
    <m/>
    <m/>
    <m/>
    <n v="2E-3"/>
    <m/>
    <m/>
    <m/>
    <m/>
    <m/>
    <n v="0"/>
    <m/>
  </r>
  <r>
    <x v="2"/>
    <x v="1"/>
    <x v="1"/>
    <m/>
    <m/>
    <m/>
    <m/>
    <m/>
    <n v="0"/>
    <s v="GASOLINA"/>
    <m/>
    <m/>
    <m/>
    <m/>
    <m/>
    <m/>
    <m/>
    <m/>
    <m/>
    <m/>
    <n v="0"/>
    <m/>
  </r>
  <r>
    <x v="2"/>
    <x v="1"/>
    <x v="2"/>
    <m/>
    <m/>
    <m/>
    <m/>
    <m/>
    <n v="0"/>
    <m/>
    <m/>
    <m/>
    <m/>
    <m/>
    <n v="0"/>
    <s v="ROMINA"/>
    <m/>
    <m/>
    <m/>
    <m/>
    <n v="75"/>
    <m/>
  </r>
  <r>
    <x v="2"/>
    <x v="1"/>
    <x v="2"/>
    <m/>
    <m/>
    <m/>
    <m/>
    <m/>
    <n v="0"/>
    <m/>
    <m/>
    <m/>
    <m/>
    <m/>
    <n v="0"/>
    <s v="PETRA"/>
    <m/>
    <m/>
    <m/>
    <m/>
    <n v="5.7140000000000004"/>
    <m/>
  </r>
  <r>
    <x v="2"/>
    <x v="1"/>
    <x v="3"/>
    <m/>
    <m/>
    <m/>
    <m/>
    <m/>
    <n v="0"/>
    <m/>
    <m/>
    <m/>
    <m/>
    <m/>
    <n v="0"/>
    <m/>
    <m/>
    <m/>
    <m/>
    <m/>
    <n v="0"/>
    <n v="0.51"/>
  </r>
  <r>
    <x v="3"/>
    <x v="1"/>
    <x v="0"/>
    <s v="ALAMBRE"/>
    <m/>
    <m/>
    <m/>
    <m/>
    <n v="0.13200000000000001"/>
    <m/>
    <m/>
    <m/>
    <m/>
    <m/>
    <n v="0"/>
    <m/>
    <m/>
    <m/>
    <m/>
    <m/>
    <n v="0"/>
    <m/>
  </r>
  <r>
    <x v="3"/>
    <x v="1"/>
    <x v="0"/>
    <s v="BOLSA"/>
    <m/>
    <m/>
    <m/>
    <m/>
    <n v="6.7000000000000004E-2"/>
    <m/>
    <m/>
    <m/>
    <m/>
    <m/>
    <n v="0"/>
    <m/>
    <m/>
    <m/>
    <m/>
    <m/>
    <n v="0"/>
    <m/>
  </r>
  <r>
    <x v="3"/>
    <x v="1"/>
    <x v="0"/>
    <s v="TARJETA"/>
    <m/>
    <m/>
    <m/>
    <m/>
    <n v="0.08"/>
    <m/>
    <m/>
    <m/>
    <m/>
    <m/>
    <n v="0"/>
    <m/>
    <m/>
    <m/>
    <m/>
    <m/>
    <n v="0"/>
    <m/>
  </r>
  <r>
    <x v="3"/>
    <x v="1"/>
    <x v="1"/>
    <m/>
    <m/>
    <m/>
    <m/>
    <m/>
    <n v="0"/>
    <s v="TELÉFONO"/>
    <m/>
    <m/>
    <m/>
    <m/>
    <n v="2.1999999999999999E-2"/>
    <m/>
    <m/>
    <m/>
    <m/>
    <m/>
    <n v="0"/>
    <m/>
  </r>
  <r>
    <x v="3"/>
    <x v="1"/>
    <x v="2"/>
    <m/>
    <m/>
    <m/>
    <m/>
    <m/>
    <n v="0"/>
    <m/>
    <m/>
    <m/>
    <m/>
    <m/>
    <n v="0"/>
    <s v="ROMINA"/>
    <m/>
    <m/>
    <m/>
    <m/>
    <n v="2.5"/>
    <m/>
  </r>
  <r>
    <x v="3"/>
    <x v="1"/>
    <x v="3"/>
    <m/>
    <m/>
    <m/>
    <m/>
    <m/>
    <n v="0"/>
    <m/>
    <m/>
    <m/>
    <m/>
    <m/>
    <n v="0"/>
    <m/>
    <m/>
    <m/>
    <m/>
    <m/>
    <n v="0"/>
    <n v="0.3"/>
  </r>
  <r>
    <x v="4"/>
    <x v="2"/>
    <x v="0"/>
    <s v="ALAMBRE"/>
    <m/>
    <m/>
    <m/>
    <m/>
    <n v="0.04"/>
    <m/>
    <m/>
    <m/>
    <m/>
    <m/>
    <n v="0"/>
    <m/>
    <m/>
    <m/>
    <m/>
    <m/>
    <n v="0"/>
    <m/>
  </r>
  <r>
    <x v="4"/>
    <x v="2"/>
    <x v="0"/>
    <s v="PERLAS"/>
    <m/>
    <m/>
    <m/>
    <m/>
    <n v="0.2"/>
    <m/>
    <m/>
    <m/>
    <m/>
    <m/>
    <n v="0"/>
    <m/>
    <m/>
    <m/>
    <m/>
    <m/>
    <n v="0"/>
    <m/>
  </r>
  <r>
    <x v="4"/>
    <x v="2"/>
    <x v="0"/>
    <s v="BOLSA"/>
    <m/>
    <m/>
    <m/>
    <m/>
    <n v="0.01"/>
    <m/>
    <m/>
    <m/>
    <m/>
    <m/>
    <n v="0"/>
    <m/>
    <m/>
    <m/>
    <m/>
    <m/>
    <n v="0"/>
    <m/>
  </r>
  <r>
    <x v="4"/>
    <x v="2"/>
    <x v="1"/>
    <m/>
    <m/>
    <m/>
    <m/>
    <m/>
    <n v="0"/>
    <s v="INTERNET"/>
    <m/>
    <m/>
    <m/>
    <m/>
    <n v="0.03"/>
    <m/>
    <m/>
    <m/>
    <m/>
    <m/>
    <n v="0"/>
    <m/>
  </r>
  <r>
    <x v="4"/>
    <x v="2"/>
    <x v="1"/>
    <m/>
    <m/>
    <m/>
    <m/>
    <m/>
    <n v="0"/>
    <s v="TELÉFONO"/>
    <m/>
    <m/>
    <m/>
    <m/>
    <n v="0.08"/>
    <m/>
    <m/>
    <m/>
    <m/>
    <m/>
    <n v="0"/>
    <m/>
  </r>
  <r>
    <x v="4"/>
    <x v="2"/>
    <x v="1"/>
    <m/>
    <m/>
    <m/>
    <m/>
    <m/>
    <n v="0"/>
    <s v="GASOLINA"/>
    <m/>
    <m/>
    <m/>
    <m/>
    <n v="8.8999999999999996E-2"/>
    <m/>
    <m/>
    <m/>
    <m/>
    <m/>
    <n v="0"/>
    <m/>
  </r>
  <r>
    <x v="4"/>
    <x v="2"/>
    <x v="2"/>
    <m/>
    <m/>
    <m/>
    <m/>
    <m/>
    <n v="0"/>
    <m/>
    <m/>
    <m/>
    <m/>
    <m/>
    <n v="0"/>
    <s v="ROMINA"/>
    <m/>
    <m/>
    <m/>
    <m/>
    <n v="0.37"/>
    <m/>
  </r>
  <r>
    <x v="4"/>
    <x v="2"/>
    <x v="3"/>
    <m/>
    <m/>
    <m/>
    <m/>
    <m/>
    <n v="0"/>
    <m/>
    <m/>
    <m/>
    <m/>
    <m/>
    <n v="0"/>
    <m/>
    <m/>
    <m/>
    <m/>
    <m/>
    <n v="0"/>
    <n v="0.3"/>
  </r>
  <r>
    <x v="5"/>
    <x v="1"/>
    <x v="0"/>
    <s v="ALAMBRE"/>
    <m/>
    <m/>
    <m/>
    <m/>
    <n v="0.111"/>
    <m/>
    <m/>
    <m/>
    <m/>
    <m/>
    <n v="0"/>
    <m/>
    <m/>
    <m/>
    <m/>
    <m/>
    <n v="0"/>
    <m/>
  </r>
  <r>
    <x v="5"/>
    <x v="1"/>
    <x v="0"/>
    <s v="CRISTALES"/>
    <m/>
    <m/>
    <m/>
    <m/>
    <n v="0.157"/>
    <m/>
    <m/>
    <m/>
    <m/>
    <m/>
    <n v="0"/>
    <m/>
    <m/>
    <m/>
    <m/>
    <m/>
    <n v="0"/>
    <m/>
  </r>
  <r>
    <x v="5"/>
    <x v="1"/>
    <x v="0"/>
    <s v="BOLSA"/>
    <m/>
    <m/>
    <m/>
    <m/>
    <n v="1.4999999999999999E-2"/>
    <m/>
    <m/>
    <m/>
    <m/>
    <m/>
    <n v="0"/>
    <m/>
    <m/>
    <m/>
    <m/>
    <m/>
    <n v="0"/>
    <m/>
  </r>
  <r>
    <x v="5"/>
    <x v="1"/>
    <x v="0"/>
    <s v="TARJETA"/>
    <m/>
    <m/>
    <m/>
    <m/>
    <n v="0.06"/>
    <m/>
    <m/>
    <m/>
    <m/>
    <m/>
    <n v="0"/>
    <m/>
    <m/>
    <m/>
    <m/>
    <m/>
    <n v="0"/>
    <m/>
  </r>
  <r>
    <x v="5"/>
    <x v="1"/>
    <x v="1"/>
    <m/>
    <m/>
    <m/>
    <m/>
    <m/>
    <n v="0"/>
    <s v="CONTADOR"/>
    <m/>
    <m/>
    <m/>
    <m/>
    <n v="0.501"/>
    <m/>
    <m/>
    <m/>
    <m/>
    <m/>
    <n v="0"/>
    <m/>
  </r>
  <r>
    <x v="5"/>
    <x v="1"/>
    <x v="1"/>
    <m/>
    <m/>
    <m/>
    <m/>
    <m/>
    <n v="0"/>
    <s v="GASOLINA"/>
    <m/>
    <m/>
    <m/>
    <m/>
    <n v="8.8999999999999996E-2"/>
    <m/>
    <m/>
    <m/>
    <m/>
    <m/>
    <n v="0"/>
    <m/>
  </r>
  <r>
    <x v="5"/>
    <x v="1"/>
    <x v="1"/>
    <m/>
    <m/>
    <m/>
    <m/>
    <m/>
    <n v="0"/>
    <s v="INTERNET"/>
    <m/>
    <m/>
    <m/>
    <m/>
    <n v="1.7000000000000001E-2"/>
    <m/>
    <m/>
    <m/>
    <m/>
    <m/>
    <n v="0"/>
    <m/>
  </r>
  <r>
    <x v="5"/>
    <x v="1"/>
    <x v="1"/>
    <m/>
    <m/>
    <m/>
    <m/>
    <m/>
    <n v="0"/>
    <s v="TELÉFONO"/>
    <m/>
    <m/>
    <m/>
    <m/>
    <n v="5.0000000000000001E-3"/>
    <m/>
    <m/>
    <m/>
    <m/>
    <m/>
    <n v="0"/>
    <m/>
  </r>
  <r>
    <x v="5"/>
    <x v="1"/>
    <x v="2"/>
    <m/>
    <m/>
    <m/>
    <m/>
    <m/>
    <n v="0"/>
    <m/>
    <m/>
    <m/>
    <m/>
    <m/>
    <n v="0"/>
    <s v="ROMINA"/>
    <m/>
    <m/>
    <m/>
    <m/>
    <n v="0.875"/>
    <m/>
  </r>
  <r>
    <x v="5"/>
    <x v="1"/>
    <x v="3"/>
    <m/>
    <m/>
    <m/>
    <m/>
    <m/>
    <n v="0"/>
    <m/>
    <m/>
    <m/>
    <m/>
    <m/>
    <n v="0"/>
    <m/>
    <m/>
    <m/>
    <m/>
    <m/>
    <n v="0"/>
    <n v="0.5"/>
  </r>
  <r>
    <x v="6"/>
    <x v="2"/>
    <x v="0"/>
    <s v="ALAMBRE 18"/>
    <m/>
    <m/>
    <m/>
    <m/>
    <n v="0.3"/>
    <m/>
    <m/>
    <m/>
    <m/>
    <m/>
    <n v="0"/>
    <m/>
    <m/>
    <m/>
    <m/>
    <m/>
    <n v="0"/>
    <m/>
  </r>
  <r>
    <x v="6"/>
    <x v="2"/>
    <x v="0"/>
    <s v="ALAMBRE 24"/>
    <m/>
    <m/>
    <m/>
    <m/>
    <n v="0.16200000000000001"/>
    <m/>
    <m/>
    <m/>
    <m/>
    <m/>
    <n v="0"/>
    <m/>
    <m/>
    <m/>
    <m/>
    <m/>
    <n v="0"/>
    <m/>
  </r>
  <r>
    <x v="6"/>
    <x v="2"/>
    <x v="0"/>
    <s v="ALAMBRE 28"/>
    <m/>
    <m/>
    <m/>
    <m/>
    <n v="6.5000000000000002E-2"/>
    <m/>
    <m/>
    <m/>
    <m/>
    <m/>
    <n v="0"/>
    <m/>
    <m/>
    <m/>
    <m/>
    <m/>
    <n v="0"/>
    <m/>
  </r>
  <r>
    <x v="6"/>
    <x v="2"/>
    <x v="0"/>
    <s v="CRISTALES"/>
    <m/>
    <m/>
    <m/>
    <m/>
    <n v="0.214"/>
    <m/>
    <m/>
    <m/>
    <m/>
    <m/>
    <n v="0"/>
    <m/>
    <m/>
    <m/>
    <m/>
    <m/>
    <n v="0"/>
    <m/>
  </r>
  <r>
    <x v="6"/>
    <x v="2"/>
    <x v="0"/>
    <s v="BOLSA"/>
    <m/>
    <m/>
    <m/>
    <m/>
    <n v="1.2999999999999999E-2"/>
    <m/>
    <m/>
    <m/>
    <m/>
    <m/>
    <n v="0"/>
    <m/>
    <m/>
    <m/>
    <m/>
    <m/>
    <n v="0"/>
    <m/>
  </r>
  <r>
    <x v="6"/>
    <x v="2"/>
    <x v="0"/>
    <s v="TARJETA"/>
    <m/>
    <m/>
    <m/>
    <m/>
    <n v="0.06"/>
    <m/>
    <m/>
    <m/>
    <m/>
    <m/>
    <n v="0"/>
    <m/>
    <m/>
    <m/>
    <m/>
    <m/>
    <n v="0"/>
    <m/>
  </r>
  <r>
    <x v="6"/>
    <x v="2"/>
    <x v="1"/>
    <m/>
    <m/>
    <m/>
    <m/>
    <m/>
    <n v="0"/>
    <s v="GASOLINA"/>
    <m/>
    <m/>
    <m/>
    <m/>
    <n v="8.8999999999999996E-2"/>
    <m/>
    <m/>
    <m/>
    <m/>
    <m/>
    <n v="0"/>
    <m/>
  </r>
  <r>
    <x v="6"/>
    <x v="2"/>
    <x v="1"/>
    <m/>
    <m/>
    <m/>
    <m/>
    <m/>
    <n v="0"/>
    <s v="INTERNET"/>
    <m/>
    <m/>
    <m/>
    <m/>
    <n v="1.7000000000000001E-2"/>
    <m/>
    <m/>
    <m/>
    <m/>
    <m/>
    <n v="0"/>
    <m/>
  </r>
  <r>
    <x v="6"/>
    <x v="2"/>
    <x v="1"/>
    <m/>
    <m/>
    <m/>
    <m/>
    <m/>
    <n v="0"/>
    <s v="TELÉFONO"/>
    <m/>
    <m/>
    <m/>
    <m/>
    <n v="5.0000000000000001E-3"/>
    <m/>
    <m/>
    <m/>
    <m/>
    <m/>
    <n v="0"/>
    <m/>
  </r>
  <r>
    <x v="6"/>
    <x v="2"/>
    <x v="1"/>
    <m/>
    <m/>
    <m/>
    <m/>
    <m/>
    <n v="0"/>
    <s v="CONTADOR"/>
    <m/>
    <m/>
    <m/>
    <m/>
    <m/>
    <m/>
    <m/>
    <m/>
    <m/>
    <m/>
    <n v="0"/>
    <m/>
  </r>
  <r>
    <x v="6"/>
    <x v="2"/>
    <x v="2"/>
    <m/>
    <m/>
    <m/>
    <m/>
    <m/>
    <n v="0"/>
    <m/>
    <m/>
    <m/>
    <m/>
    <m/>
    <n v="0"/>
    <s v="ROMINA"/>
    <m/>
    <m/>
    <m/>
    <m/>
    <n v="1.56"/>
    <m/>
  </r>
  <r>
    <x v="6"/>
    <x v="2"/>
    <x v="3"/>
    <m/>
    <m/>
    <m/>
    <m/>
    <m/>
    <n v="0"/>
    <m/>
    <m/>
    <m/>
    <m/>
    <m/>
    <n v="0"/>
    <m/>
    <m/>
    <m/>
    <m/>
    <m/>
    <n v="0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5">
        <item h="1" m="1" x="25"/>
        <item h="1" m="1" x="19"/>
        <item h="1" m="1" x="8"/>
        <item h="1" m="1" x="31"/>
        <item h="1" x="4"/>
        <item h="1" m="1" x="26"/>
        <item h="1" m="1" x="32"/>
        <item h="1" m="1" x="18"/>
        <item h="1" m="1" x="15"/>
        <item h="1" m="1" x="27"/>
        <item h="1" m="1" x="12"/>
        <item h="1" m="1" x="17"/>
        <item h="1" m="1" x="7"/>
        <item h="1" m="1" x="16"/>
        <item h="1" m="1" x="33"/>
        <item h="1" x="2"/>
        <item h="1" m="1" x="20"/>
        <item h="1" m="1" x="28"/>
        <item h="1" m="1" x="29"/>
        <item h="1" m="1" x="30"/>
        <item h="1" m="1" x="14"/>
        <item h="1" m="1" x="13"/>
        <item h="1" m="1" x="22"/>
        <item h="1" m="1" x="9"/>
        <item h="1" m="1" x="24"/>
        <item h="1" m="1" x="23"/>
        <item x="0"/>
        <item h="1" m="1" x="10"/>
        <item h="1" m="1" x="11"/>
        <item h="1" x="1"/>
        <item h="1" m="1" x="21"/>
        <item h="1" x="3"/>
        <item h="1" x="5"/>
        <item h="1" x="6"/>
        <item t="default"/>
      </items>
    </pivotField>
    <pivotField showAll="0">
      <items count="5">
        <item x="0"/>
        <item h="1" m="1" x="3"/>
        <item h="1" x="1"/>
        <item h="1"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9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4">
        <i x="0" s="1"/>
        <i x="8" nd="1"/>
        <i x="22" nd="1"/>
        <i x="24" nd="1"/>
        <i x="32" nd="1"/>
        <i x="11" nd="1"/>
        <i x="23" nd="1"/>
        <i x="9" nd="1"/>
        <i x="10" nd="1"/>
        <i x="13" nd="1"/>
        <i x="17" nd="1"/>
        <i x="21" nd="1"/>
        <i x="20" nd="1"/>
        <i x="28" nd="1"/>
        <i x="29" nd="1"/>
        <i x="30" nd="1"/>
        <i x="27" nd="1"/>
        <i x="33" nd="1"/>
        <i x="7" nd="1"/>
        <i x="16" nd="1"/>
        <i x="3" nd="1"/>
        <i x="12" nd="1"/>
        <i x="25" nd="1"/>
        <i x="19" nd="1"/>
        <i x="14" nd="1"/>
        <i x="2" nd="1"/>
        <i x="1" nd="1"/>
        <i x="5" nd="1"/>
        <i x="6" nd="1"/>
        <i x="15" nd="1"/>
        <i x="18" nd="1"/>
        <i x="31" nd="1"/>
        <i x="4" nd="1"/>
        <i x="2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0" s="1"/>
        <i x="3" nd="1"/>
        <i x="1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64" totalsRowDxfId="62" tableBorderDxfId="63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61"/>
    <tableColumn id="2" xr3:uid="{67F9B078-7971-4210-877B-9C9A2263ED2A}" name="COSTO($)" totalsRowFunction="sum" totalsRow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9" dataDxfId="58" totalsRowDxfId="57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6" totalsRowDxfId="55"/>
    <tableColumn id="2" xr3:uid="{FED94907-3424-45B2-861F-853E156B063B}" name="COSTO($)" totalsRowFunction="sum" dataDxfId="54" totalsRow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52" dataDxfId="51" totalsRowDxfId="50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9" totalsRowDxfId="48"/>
    <tableColumn id="2" xr3:uid="{D1EF3DFB-AA71-407B-AEF5-6C727B011AC1}" name="COSTO($)" totalsRowFunction="sum" dataDxfId="47" totalsRow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58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45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44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3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38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37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3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35" dataDxfId="34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3"/>
    <tableColumn id="1" xr3:uid="{E1A683EB-EE64-45BC-9626-90EF28F9D8EC}" name="UNIDADES" dataDxfId="32"/>
    <tableColumn id="4" xr3:uid="{79D4A729-AFF7-45E8-B9A1-FF1356E622DD}" name="TIPO DE MEDIDA CON EJEMPLO" dataDxfId="31"/>
    <tableColumn id="5" xr3:uid="{BC6A7262-7D1D-4DEF-B12A-AA80E287FA5C}" name="ORDENAR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G28" totalsRowShown="0" headerRowDxfId="29" dataDxfId="28">
  <autoFilter ref="A1:G28" xr:uid="{04BC01B3-6066-44E3-9DF1-3746F2802D86}"/>
  <sortState xmlns:xlrd2="http://schemas.microsoft.com/office/spreadsheetml/2017/richdata2" ref="A2:G28">
    <sortCondition ref="A1:A28"/>
  </sortState>
  <tableColumns count="7">
    <tableColumn id="1" xr3:uid="{1B2EB763-6053-4247-A4D7-F9836FFA73EA}" name="MATERIAL" dataDxfId="27"/>
    <tableColumn id="2" xr3:uid="{3482D2CF-B368-4191-91D2-676ECD1A621F}" name="TIPO DE MEDIDA" dataDxfId="26"/>
    <tableColumn id="3" xr3:uid="{C67EF1B5-A9B0-4212-A109-5F8EEDE51D15}" name="MEDIDA DE COSTO" dataDxfId="25"/>
    <tableColumn id="4" xr3:uid="{44E19CED-6E78-4420-9CAE-89CDDDAE05BF}" name="CANTIDAD COMPRADA" dataDxfId="24"/>
    <tableColumn id="5" xr3:uid="{EE4D61C4-3D8B-494D-9A5E-C2E4D627CCCF}" name="MEDIDA DE USO" dataDxfId="23"/>
    <tableColumn id="6" xr3:uid="{312A5358-58F4-4DBF-9258-110FFC9621BF}" name="CANTIDAD DE USO" dataDxfId="22"/>
    <tableColumn id="7" xr3:uid="{BD82A5E5-D017-492B-8AD2-228E552C3F2D}" name="PRECIO" dataDxfId="2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5" totalsRowShown="0" headerRowDxfId="20" dataDxfId="19">
  <tableColumns count="7">
    <tableColumn id="1" xr3:uid="{B4545FC2-4B1B-41F4-BD0A-36DA34F4E563}" name="SERVICIO" dataDxfId="18"/>
    <tableColumn id="5" xr3:uid="{848885E0-3C0E-4EFE-885A-9E6B3332F0D5}" name="TIPO DE MEDIDA" dataDxfId="17"/>
    <tableColumn id="6" xr3:uid="{1AF22CFC-1EB5-4ABF-842F-FFAEF84785D8}" name="MEDIDA DE COSTO" dataDxfId="16"/>
    <tableColumn id="9" xr3:uid="{6F716731-9558-4D76-A50C-AB4BCE128D3A}" name="CANTIDAD COMPRADA" dataDxfId="15"/>
    <tableColumn id="8" xr3:uid="{F542FE7D-24FB-4ED9-8E4D-EB016D364745}" name="MEDIDA DE USO" dataDxfId="14"/>
    <tableColumn id="7" xr3:uid="{4298E081-E2D7-4CF5-87CE-F7FB1C504E6F}" name="CANTIDAD DE USO" dataDxfId="13"/>
    <tableColumn id="2" xr3:uid="{EF5740F7-4F1C-46C8-8F26-5581F288F70A}" name="PRECIO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G3" totalsRowShown="0" headerRowDxfId="11" dataDxfId="10">
  <tableColumns count="7">
    <tableColumn id="2" xr3:uid="{CF8293A7-FCFB-462B-87C6-7ADECB3E3EC8}" name="MANO DE OBRA" dataDxfId="9"/>
    <tableColumn id="6" xr3:uid="{0995AFE9-7562-4B65-BFE2-752911DBADA5}" name="TIPO DE MEDIDA" dataDxfId="8"/>
    <tableColumn id="3" xr3:uid="{FDF6BEDD-F402-4A7C-8BF8-8F439C83287F}" name="MEDIDA DE COSTO" dataDxfId="7"/>
    <tableColumn id="4" xr3:uid="{26F46A0E-7E73-4C52-BE29-04F5CD56B892}" name="CANTIDAD COMPRADA" dataDxfId="6"/>
    <tableColumn id="1" xr3:uid="{61170B82-50AE-4ED2-BB24-A1340F4D822E}" name="MEDIDA DE USO" dataDxfId="5"/>
    <tableColumn id="5" xr3:uid="{E514F6DC-DAE1-47A7-9548-65CD146A0B26}" name="CANTIDAD DE USO" dataDxfId="4"/>
    <tableColumn id="7" xr3:uid="{F6BBE82E-1C1A-4488-A92D-8E6BE43B76F9}" name="PRECIO" dataDxf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7" totalsRowShown="0" headerRowDxfId="2" dataDxfId="1">
  <autoFilter ref="A1:A7" xr:uid="{C9559379-AFD8-4292-B689-A335C36E3551}"/>
  <tableColumns count="1">
    <tableColumn id="1" xr3:uid="{02001C19-3BE2-4C7C-98A6-3936C05D736A}" name="CATEGORIA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4" totalsRowShown="0">
  <autoFilter ref="A1:C4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33"/>
  <sheetViews>
    <sheetView showGridLines="0" showRowColHeaders="0" tabSelected="1" zoomScaleNormal="100" workbookViewId="0">
      <selection activeCell="B13" sqref="B13"/>
    </sheetView>
  </sheetViews>
  <sheetFormatPr baseColWidth="10" defaultRowHeight="14.4" x14ac:dyDescent="0.3"/>
  <cols>
    <col min="1" max="1" width="3.33203125" customWidth="1"/>
    <col min="2" max="2" width="39.88671875" customWidth="1"/>
    <col min="3" max="3" width="4.33203125" customWidth="1"/>
    <col min="4" max="4" width="22.6640625" customWidth="1"/>
    <col min="5" max="5" width="17.6640625" customWidth="1"/>
    <col min="6" max="6" width="3.33203125" customWidth="1"/>
    <col min="7" max="7" width="16.88671875" customWidth="1"/>
    <col min="8" max="8" width="16.33203125" customWidth="1"/>
    <col min="9" max="9" width="3.44140625" customWidth="1"/>
    <col min="10" max="10" width="23.6640625" customWidth="1"/>
    <col min="11" max="11" width="15.88671875" customWidth="1"/>
    <col min="12" max="12" width="3" customWidth="1"/>
    <col min="13" max="13" width="24.33203125" bestFit="1" customWidth="1"/>
  </cols>
  <sheetData>
    <row r="1" spans="2:13" ht="40.950000000000003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31</v>
      </c>
      <c r="E3" s="20" t="s">
        <v>32</v>
      </c>
      <c r="G3" s="20" t="s">
        <v>33</v>
      </c>
      <c r="H3" s="20" t="s">
        <v>32</v>
      </c>
      <c r="J3" s="20" t="s">
        <v>34</v>
      </c>
      <c r="K3" s="20" t="s">
        <v>32</v>
      </c>
      <c r="M3" s="15" t="s">
        <v>31</v>
      </c>
    </row>
    <row r="4" spans="2:13" ht="19.2" thickBot="1" x14ac:dyDescent="0.5">
      <c r="B4" s="13" t="s">
        <v>55</v>
      </c>
      <c r="C4" s="12"/>
      <c r="D4" s="25" t="s">
        <v>56</v>
      </c>
      <c r="E4" s="22">
        <v>1.25</v>
      </c>
      <c r="G4" s="25" t="s">
        <v>62</v>
      </c>
      <c r="H4" s="22">
        <v>0.25</v>
      </c>
      <c r="J4" s="25" t="s">
        <v>58</v>
      </c>
      <c r="K4" s="22">
        <v>0.37</v>
      </c>
      <c r="M4" s="17">
        <f>+TablaF_Materiales[[#Totals],[COSTO($)]]</f>
        <v>3.25</v>
      </c>
    </row>
    <row r="5" spans="2:13" ht="17.399999999999999" x14ac:dyDescent="0.45">
      <c r="D5" s="25" t="s">
        <v>52</v>
      </c>
      <c r="E5" s="22">
        <v>2</v>
      </c>
      <c r="G5" s="25" t="s">
        <v>57</v>
      </c>
      <c r="H5" s="22">
        <v>0.2</v>
      </c>
      <c r="J5" s="25"/>
      <c r="K5" s="22"/>
    </row>
    <row r="6" spans="2:13" ht="25.2" customHeight="1" thickBot="1" x14ac:dyDescent="0.5">
      <c r="B6" s="10" t="s">
        <v>36</v>
      </c>
      <c r="D6" s="25"/>
      <c r="E6" s="22"/>
      <c r="G6" s="25"/>
      <c r="H6" s="22"/>
      <c r="J6" s="25"/>
      <c r="K6" s="22"/>
      <c r="M6" s="15" t="s">
        <v>33</v>
      </c>
    </row>
    <row r="7" spans="2:13" ht="19.95" customHeight="1" thickBot="1" x14ac:dyDescent="0.5">
      <c r="B7" s="13" t="s">
        <v>63</v>
      </c>
      <c r="D7" s="25"/>
      <c r="E7" s="22"/>
      <c r="G7" s="25"/>
      <c r="H7" s="22"/>
      <c r="J7" s="25"/>
      <c r="K7" s="22"/>
      <c r="M7" s="17">
        <f>+TablaF_Servicios[[#Totals],[COSTO($)]]</f>
        <v>0.45</v>
      </c>
    </row>
    <row r="8" spans="2:13" ht="17.399999999999999" x14ac:dyDescent="0.45">
      <c r="D8" s="25"/>
      <c r="E8" s="22"/>
      <c r="G8" s="25"/>
      <c r="H8" s="22"/>
      <c r="J8" s="21"/>
      <c r="K8" s="22"/>
    </row>
    <row r="9" spans="2:13" ht="25.2" customHeight="1" thickBot="1" x14ac:dyDescent="0.5">
      <c r="B9" s="10" t="s">
        <v>37</v>
      </c>
      <c r="D9" s="25"/>
      <c r="E9" s="22"/>
      <c r="G9" s="25"/>
      <c r="H9" s="22"/>
      <c r="J9" s="21"/>
      <c r="K9" s="22"/>
      <c r="M9" s="15" t="s">
        <v>34</v>
      </c>
    </row>
    <row r="10" spans="2:13" ht="19.2" thickBot="1" x14ac:dyDescent="0.5">
      <c r="B10" s="16">
        <v>0.6</v>
      </c>
      <c r="E10" s="22"/>
      <c r="G10" s="21"/>
      <c r="H10" s="22"/>
      <c r="J10" s="21"/>
      <c r="K10" s="22"/>
      <c r="M10" s="17">
        <f>+TablaF_ManoDeObra[[#Totals],[COSTO($)]]</f>
        <v>0.37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41</v>
      </c>
    </row>
    <row r="13" spans="2:13" ht="19.2" thickBot="1" x14ac:dyDescent="0.5">
      <c r="B13" s="18" t="s">
        <v>55</v>
      </c>
      <c r="E13" s="22"/>
      <c r="G13" s="21"/>
      <c r="H13" s="22"/>
      <c r="J13" s="21"/>
      <c r="K13" s="22"/>
      <c r="M13" s="17">
        <f>+M4+M7+M10</f>
        <v>4.07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42</v>
      </c>
    </row>
    <row r="16" spans="2:13" ht="29.4" customHeight="1" thickBot="1" x14ac:dyDescent="0.5">
      <c r="D16" s="21" t="s">
        <v>35</v>
      </c>
      <c r="E16" s="22">
        <f>SUBTOTAL(109,TablaF_Materiales[COSTO($)])</f>
        <v>3.25</v>
      </c>
      <c r="G16" s="23" t="s">
        <v>35</v>
      </c>
      <c r="H16" s="24">
        <f>SUBTOTAL(109,TablaF_Servicios[COSTO($)])</f>
        <v>0.45</v>
      </c>
      <c r="J16" s="21" t="s">
        <v>35</v>
      </c>
      <c r="K16" s="22">
        <f>SUBTOTAL(109,TablaF_ManoDeObra[COSTO($)])</f>
        <v>0.37</v>
      </c>
      <c r="M16" s="17">
        <f>M13*(1+B10)</f>
        <v>6.5120000000000005</v>
      </c>
    </row>
    <row r="17" spans="2:11" ht="10.199999999999999" customHeight="1" x14ac:dyDescent="0.3"/>
    <row r="26" spans="2:11" x14ac:dyDescent="0.3">
      <c r="B26" s="27"/>
      <c r="D26" s="7"/>
    </row>
    <row r="27" spans="2:11" x14ac:dyDescent="0.3">
      <c r="B27" s="27"/>
      <c r="D27" s="7"/>
    </row>
    <row r="28" spans="2:11" x14ac:dyDescent="0.3">
      <c r="B28" s="27"/>
      <c r="D28" s="7"/>
    </row>
    <row r="29" spans="2:11" x14ac:dyDescent="0.3">
      <c r="B29" s="27"/>
      <c r="D29" s="7"/>
    </row>
    <row r="30" spans="2:11" ht="15" thickBot="1" x14ac:dyDescent="0.35"/>
    <row r="31" spans="2:11" ht="18.600000000000001" x14ac:dyDescent="0.3">
      <c r="J31" s="28" t="s">
        <v>31</v>
      </c>
      <c r="K31" s="31">
        <f>$E$16</f>
        <v>3.25</v>
      </c>
    </row>
    <row r="32" spans="2:11" ht="18.600000000000001" x14ac:dyDescent="0.3">
      <c r="J32" s="29" t="s">
        <v>33</v>
      </c>
      <c r="K32" s="32">
        <f>$H$16</f>
        <v>0.45</v>
      </c>
    </row>
    <row r="33" spans="10:11" ht="19.2" thickBot="1" x14ac:dyDescent="0.35">
      <c r="J33" s="30" t="s">
        <v>34</v>
      </c>
      <c r="K33" s="33">
        <f>$K$16</f>
        <v>0.37</v>
      </c>
    </row>
  </sheetData>
  <sheetProtection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B13" xr:uid="{E94F4D84-D0FF-49A9-AF82-1B236DE81B0B}">
      <formula1>"COLLAR DE PERLAS,PULSERA DE HOMBRE,PULSERA MINIMALISTA,PULSERA OVALADA,PULSERA ROMI,ZACILLOS LIS,ZARCILLOS SOLITARIO"</formula1>
    </dataValidation>
  </dataValidations>
  <hyperlinks>
    <hyperlink ref="D4" display="BROCHE" xr:uid="{F89BA30D-0F24-4022-A1BE-7F9025D76C52}"/>
    <hyperlink ref="D5" display="ALAMBRE" xr:uid="{11199A45-2A1D-4F97-BB8E-2FF9CA139338}"/>
    <hyperlink ref="G4" display="INTERNET" xr:uid="{CD12C1BC-BCA1-48A2-8922-65B75E2ED76E}"/>
    <hyperlink ref="G5" display="GASOLINA" xr:uid="{2EB83CF1-3F0F-4427-B20E-25AE020B724A}"/>
    <hyperlink ref="J4" display="ROMINA" xr:uid="{AA577B1B-1D7F-4292-B322-1F8360B01AD3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3320312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58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33203125" customWidth="1"/>
    <col min="4" max="4" width="22.33203125" customWidth="1"/>
    <col min="5" max="5" width="21.5546875" customWidth="1"/>
    <col min="6" max="6" width="23.6640625" customWidth="1"/>
    <col min="7" max="7" width="23.3320312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664062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96</v>
      </c>
      <c r="G1" s="1" t="s">
        <v>5</v>
      </c>
      <c r="H1" t="s">
        <v>93</v>
      </c>
      <c r="I1" s="2" t="s">
        <v>8</v>
      </c>
      <c r="J1" s="1" t="s">
        <v>4</v>
      </c>
      <c r="K1" s="1" t="s">
        <v>6</v>
      </c>
      <c r="L1" s="1" t="s">
        <v>97</v>
      </c>
      <c r="M1" s="1" t="s">
        <v>7</v>
      </c>
      <c r="N1" t="s">
        <v>94</v>
      </c>
      <c r="O1" t="s">
        <v>13</v>
      </c>
      <c r="P1" s="1" t="s">
        <v>9</v>
      </c>
      <c r="Q1" s="1" t="s">
        <v>10</v>
      </c>
      <c r="R1" s="1" t="s">
        <v>98</v>
      </c>
      <c r="S1" s="1" t="s">
        <v>11</v>
      </c>
      <c r="T1" t="s">
        <v>95</v>
      </c>
      <c r="U1" t="s">
        <v>12</v>
      </c>
      <c r="V1" t="s">
        <v>16</v>
      </c>
    </row>
    <row r="2" spans="1:22" x14ac:dyDescent="0.3">
      <c r="A2" t="s">
        <v>55</v>
      </c>
      <c r="B2" t="s">
        <v>63</v>
      </c>
      <c r="C2" t="s">
        <v>0</v>
      </c>
      <c r="D2" t="s">
        <v>56</v>
      </c>
      <c r="I2" s="3">
        <v>1.25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55</v>
      </c>
      <c r="B3" t="s">
        <v>63</v>
      </c>
      <c r="C3" t="s">
        <v>0</v>
      </c>
      <c r="D3" t="s">
        <v>52</v>
      </c>
      <c r="I3" s="3">
        <v>2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55</v>
      </c>
      <c r="B4" t="s">
        <v>63</v>
      </c>
      <c r="C4" t="s">
        <v>1</v>
      </c>
      <c r="I4" s="3">
        <f>IFERROR(FactTable[[#This Row],[cantidadUsadaMaterial]]*FactTable[[#This Row],[costoMaterial$]]/FactTable[[#This Row],[unidadUsadaMaterial]],0)</f>
        <v>0</v>
      </c>
      <c r="J4" t="s">
        <v>62</v>
      </c>
      <c r="O4">
        <v>0.25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55</v>
      </c>
      <c r="B5" t="s">
        <v>63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57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55</v>
      </c>
      <c r="B6" t="s">
        <v>63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58</v>
      </c>
      <c r="U6" s="3">
        <v>0.37</v>
      </c>
    </row>
    <row r="7" spans="1:22" x14ac:dyDescent="0.3">
      <c r="A7" t="s">
        <v>55</v>
      </c>
      <c r="B7" t="s">
        <v>63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0.6</v>
      </c>
    </row>
    <row r="8" spans="1:22" x14ac:dyDescent="0.3">
      <c r="A8" t="s">
        <v>61</v>
      </c>
      <c r="B8" t="s">
        <v>59</v>
      </c>
      <c r="C8" t="s">
        <v>0</v>
      </c>
      <c r="D8" t="s">
        <v>48</v>
      </c>
      <c r="I8" s="3">
        <v>0.2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61</v>
      </c>
      <c r="B9" t="s">
        <v>59</v>
      </c>
      <c r="C9" t="s">
        <v>0</v>
      </c>
      <c r="D9" t="s">
        <v>52</v>
      </c>
      <c r="I9" s="3">
        <v>0.113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61</v>
      </c>
      <c r="B10" t="s">
        <v>59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62</v>
      </c>
      <c r="O10">
        <v>0.5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61</v>
      </c>
      <c r="B11" t="s">
        <v>59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57</v>
      </c>
      <c r="O11">
        <v>8.8999999999999996E-2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61</v>
      </c>
      <c r="B12" t="s">
        <v>59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58</v>
      </c>
      <c r="U12" s="3">
        <v>0.89</v>
      </c>
    </row>
    <row r="13" spans="1:22" x14ac:dyDescent="0.3">
      <c r="A13" t="s">
        <v>61</v>
      </c>
      <c r="B13" t="s">
        <v>59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0.52</v>
      </c>
    </row>
    <row r="14" spans="1:22" x14ac:dyDescent="0.3">
      <c r="A14" t="s">
        <v>44</v>
      </c>
      <c r="B14" t="s">
        <v>59</v>
      </c>
      <c r="C14" t="s">
        <v>0</v>
      </c>
      <c r="D14" t="s">
        <v>52</v>
      </c>
      <c r="I14" s="3">
        <v>0.113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44</v>
      </c>
      <c r="B15" t="s">
        <v>59</v>
      </c>
      <c r="C15" t="s">
        <v>0</v>
      </c>
      <c r="D15" t="s">
        <v>49</v>
      </c>
      <c r="I15" s="3">
        <v>0.23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44</v>
      </c>
      <c r="B16" t="s">
        <v>59</v>
      </c>
      <c r="C16" t="s">
        <v>0</v>
      </c>
      <c r="D16" t="s">
        <v>56</v>
      </c>
      <c r="I16" s="3">
        <v>0.3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44</v>
      </c>
      <c r="B17" t="s">
        <v>59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62</v>
      </c>
      <c r="O17">
        <v>5.25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44</v>
      </c>
      <c r="B18" t="s">
        <v>59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60</v>
      </c>
      <c r="O18">
        <v>2E-3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44</v>
      </c>
      <c r="B19" t="s">
        <v>59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57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44</v>
      </c>
      <c r="B20" t="s">
        <v>59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58</v>
      </c>
      <c r="U20" s="3">
        <v>75</v>
      </c>
    </row>
    <row r="21" spans="1:22" x14ac:dyDescent="0.3">
      <c r="A21" t="s">
        <v>44</v>
      </c>
      <c r="B21" t="s">
        <v>59</v>
      </c>
      <c r="C21" t="s">
        <v>2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P21" t="s">
        <v>90</v>
      </c>
      <c r="U21" s="3">
        <v>5.7140000000000004</v>
      </c>
    </row>
    <row r="22" spans="1:22" x14ac:dyDescent="0.3">
      <c r="A22" t="s">
        <v>44</v>
      </c>
      <c r="B22" t="s">
        <v>59</v>
      </c>
      <c r="C22" t="s">
        <v>15</v>
      </c>
      <c r="I22" s="3">
        <f>IFERROR(FactTable[[#This Row],[cantidadUsadaMaterial]]*FactTable[[#This Row],[costoMaterial$]]/FactTable[[#This Row],[unidadUsadaMaterial]],0)</f>
        <v>0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  <c r="V22">
        <v>0.51</v>
      </c>
    </row>
    <row r="23" spans="1:22" x14ac:dyDescent="0.3">
      <c r="A23" t="s">
        <v>116</v>
      </c>
      <c r="B23" t="s">
        <v>59</v>
      </c>
      <c r="C23" t="s">
        <v>0</v>
      </c>
      <c r="D23" t="s">
        <v>52</v>
      </c>
      <c r="I23" s="3">
        <v>0.13200000000000001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116</v>
      </c>
      <c r="B24" t="s">
        <v>59</v>
      </c>
      <c r="C24" t="s">
        <v>0</v>
      </c>
      <c r="D24" t="s">
        <v>66</v>
      </c>
      <c r="I24" s="3">
        <v>6.7000000000000004E-2</v>
      </c>
      <c r="O24">
        <f>IFERROR(FactTable[[#This Row],[cantidadUsadaServicio]]*FactTable[[#This Row],[costoServicio$]]/FactTable[[#This Row],[unidadUsadaServicio]],0)</f>
        <v>0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116</v>
      </c>
      <c r="B25" t="s">
        <v>59</v>
      </c>
      <c r="C25" t="s">
        <v>0</v>
      </c>
      <c r="D25" t="s">
        <v>49</v>
      </c>
      <c r="I25" s="3">
        <v>0.08</v>
      </c>
      <c r="O25">
        <f>IFERROR(FactTable[[#This Row],[cantidadUsadaServicio]]*FactTable[[#This Row],[costoServicio$]]/FactTable[[#This Row],[unidadUsadaServicio]],0)</f>
        <v>0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116</v>
      </c>
      <c r="B26" t="s">
        <v>59</v>
      </c>
      <c r="C26" t="s">
        <v>1</v>
      </c>
      <c r="I26" s="3">
        <f>IFERROR(FactTable[[#This Row],[cantidadUsadaMaterial]]*FactTable[[#This Row],[costoMaterial$]]/FactTable[[#This Row],[unidadUsadaMaterial]],0)</f>
        <v>0</v>
      </c>
      <c r="J26" t="s">
        <v>60</v>
      </c>
      <c r="O26">
        <v>2.1999999999999999E-2</v>
      </c>
      <c r="U26" s="3">
        <f>IFERROR(FactTable[[#This Row],[cantidadUsadaManoObra]]*FactTable[[#This Row],[costoManoObra$]]/FactTable[[#This Row],[unidadUsadaManoObra]],0)</f>
        <v>0</v>
      </c>
    </row>
    <row r="27" spans="1:22" x14ac:dyDescent="0.3">
      <c r="A27" t="s">
        <v>116</v>
      </c>
      <c r="B27" t="s">
        <v>59</v>
      </c>
      <c r="C27" t="s">
        <v>2</v>
      </c>
      <c r="I27" s="3">
        <f>IFERROR(FactTable[[#This Row],[cantidadUsadaMaterial]]*FactTable[[#This Row],[costoMaterial$]]/FactTable[[#This Row],[unidadUsadaMaterial]],0)</f>
        <v>0</v>
      </c>
      <c r="O27">
        <f>IFERROR(FactTable[[#This Row],[cantidadUsadaServicio]]*FactTable[[#This Row],[costoServicio$]]/FactTable[[#This Row],[unidadUsadaServicio]],0)</f>
        <v>0</v>
      </c>
      <c r="P27" t="s">
        <v>58</v>
      </c>
      <c r="U27" s="3">
        <v>2.5</v>
      </c>
    </row>
    <row r="28" spans="1:22" x14ac:dyDescent="0.3">
      <c r="A28" t="s">
        <v>116</v>
      </c>
      <c r="B28" t="s">
        <v>59</v>
      </c>
      <c r="C28" t="s">
        <v>15</v>
      </c>
      <c r="I28" s="3">
        <f>IFERROR(FactTable[[#This Row],[cantidadUsadaMaterial]]*FactTable[[#This Row],[costoMaterial$]]/FactTable[[#This Row],[unidadUsadaMaterial]],0)</f>
        <v>0</v>
      </c>
      <c r="O28">
        <f>IFERROR(FactTable[[#This Row],[cantidadUsadaServicio]]*FactTable[[#This Row],[costoServicio$]]/FactTable[[#This Row],[unidadUsadaServicio]],0)</f>
        <v>0</v>
      </c>
      <c r="U28" s="3">
        <f>IFERROR(FactTable[[#This Row],[cantidadUsadaManoObra]]*FactTable[[#This Row],[costoManoObra$]]/FactTable[[#This Row],[unidadUsadaManoObra]],0)</f>
        <v>0</v>
      </c>
      <c r="V28">
        <v>0.3</v>
      </c>
    </row>
    <row r="29" spans="1:22" x14ac:dyDescent="0.3">
      <c r="A29" t="s">
        <v>43</v>
      </c>
      <c r="B29" t="s">
        <v>67</v>
      </c>
      <c r="C29" t="s">
        <v>0</v>
      </c>
      <c r="D29" t="s">
        <v>52</v>
      </c>
      <c r="I29" s="3">
        <v>0.04</v>
      </c>
      <c r="O29">
        <f>IFERROR(FactTable[[#This Row],[cantidadUsadaServicio]]*FactTable[[#This Row],[costoServicio$]]/FactTable[[#This Row],[unidadUsadaServicio]],0)</f>
        <v>0</v>
      </c>
      <c r="U29" s="3">
        <f>IFERROR(FactTable[[#This Row],[cantidadUsadaManoObra]]*FactTable[[#This Row],[costoManoObra$]]/FactTable[[#This Row],[unidadUsadaManoObra]],0)</f>
        <v>0</v>
      </c>
    </row>
    <row r="30" spans="1:22" x14ac:dyDescent="0.3">
      <c r="A30" t="s">
        <v>43</v>
      </c>
      <c r="B30" t="s">
        <v>67</v>
      </c>
      <c r="C30" t="s">
        <v>0</v>
      </c>
      <c r="D30" t="s">
        <v>64</v>
      </c>
      <c r="I30" s="3">
        <v>0.2</v>
      </c>
      <c r="O30">
        <f>IFERROR(FactTable[[#This Row],[cantidadUsadaServicio]]*FactTable[[#This Row],[costoServicio$]]/FactTable[[#This Row],[unidadUsadaServicio]],0)</f>
        <v>0</v>
      </c>
      <c r="U30" s="3">
        <f>IFERROR(FactTable[[#This Row],[cantidadUsadaManoObra]]*FactTable[[#This Row],[costoManoObra$]]/FactTable[[#This Row],[unidadUsadaManoObra]],0)</f>
        <v>0</v>
      </c>
    </row>
    <row r="31" spans="1:22" x14ac:dyDescent="0.3">
      <c r="A31" t="s">
        <v>43</v>
      </c>
      <c r="B31" t="s">
        <v>67</v>
      </c>
      <c r="C31" t="s">
        <v>0</v>
      </c>
      <c r="D31" t="s">
        <v>66</v>
      </c>
      <c r="I31" s="3">
        <v>0.01</v>
      </c>
      <c r="O31">
        <f>IFERROR(FactTable[[#This Row],[cantidadUsadaServicio]]*FactTable[[#This Row],[costoServicio$]]/FactTable[[#This Row],[unidadUsadaServicio]],0)</f>
        <v>0</v>
      </c>
      <c r="U31" s="3">
        <f>IFERROR(FactTable[[#This Row],[cantidadUsadaManoObra]]*FactTable[[#This Row],[costoManoObra$]]/FactTable[[#This Row],[unidadUsadaManoObra]],0)</f>
        <v>0</v>
      </c>
    </row>
    <row r="32" spans="1:22" x14ac:dyDescent="0.3">
      <c r="A32" t="s">
        <v>43</v>
      </c>
      <c r="B32" t="s">
        <v>67</v>
      </c>
      <c r="C32" t="s">
        <v>1</v>
      </c>
      <c r="I32" s="3">
        <f>IFERROR(FactTable[[#This Row],[cantidadUsadaMaterial]]*FactTable[[#This Row],[costoMaterial$]]/FactTable[[#This Row],[unidadUsadaMaterial]],0)</f>
        <v>0</v>
      </c>
      <c r="J32" t="s">
        <v>62</v>
      </c>
      <c r="O32">
        <v>0.03</v>
      </c>
      <c r="U32" s="3">
        <f>IFERROR(FactTable[[#This Row],[cantidadUsadaManoObra]]*FactTable[[#This Row],[costoManoObra$]]/FactTable[[#This Row],[unidadUsadaManoObra]],0)</f>
        <v>0</v>
      </c>
    </row>
    <row r="33" spans="1:22" x14ac:dyDescent="0.3">
      <c r="A33" t="s">
        <v>43</v>
      </c>
      <c r="B33" t="s">
        <v>67</v>
      </c>
      <c r="C33" t="s">
        <v>1</v>
      </c>
      <c r="I33" s="3">
        <f>IFERROR(FactTable[[#This Row],[cantidadUsadaMaterial]]*FactTable[[#This Row],[costoMaterial$]]/FactTable[[#This Row],[unidadUsadaMaterial]],0)</f>
        <v>0</v>
      </c>
      <c r="J33" t="s">
        <v>60</v>
      </c>
      <c r="O33">
        <v>0.08</v>
      </c>
      <c r="U33" s="3">
        <f>IFERROR(FactTable[[#This Row],[cantidadUsadaManoObra]]*FactTable[[#This Row],[costoManoObra$]]/FactTable[[#This Row],[unidadUsadaManoObra]],0)</f>
        <v>0</v>
      </c>
    </row>
    <row r="34" spans="1:22" x14ac:dyDescent="0.3">
      <c r="A34" t="s">
        <v>43</v>
      </c>
      <c r="B34" t="s">
        <v>67</v>
      </c>
      <c r="C34" t="s">
        <v>1</v>
      </c>
      <c r="I34" s="3">
        <f>IFERROR(FactTable[[#This Row],[cantidadUsadaMaterial]]*FactTable[[#This Row],[costoMaterial$]]/FactTable[[#This Row],[unidadUsadaMaterial]],0)</f>
        <v>0</v>
      </c>
      <c r="J34" t="s">
        <v>57</v>
      </c>
      <c r="O34">
        <v>8.8999999999999996E-2</v>
      </c>
      <c r="U34" s="3">
        <f>IFERROR(FactTable[[#This Row],[cantidadUsadaManoObra]]*FactTable[[#This Row],[costoManoObra$]]/FactTable[[#This Row],[unidadUsadaManoObra]],0)</f>
        <v>0</v>
      </c>
    </row>
    <row r="35" spans="1:22" x14ac:dyDescent="0.3">
      <c r="A35" t="s">
        <v>43</v>
      </c>
      <c r="B35" t="s">
        <v>67</v>
      </c>
      <c r="C35" t="s">
        <v>2</v>
      </c>
      <c r="I35" s="3">
        <f>IFERROR(FactTable[[#This Row],[cantidadUsadaMaterial]]*FactTable[[#This Row],[costoMaterial$]]/FactTable[[#This Row],[unidadUsadaMaterial]],0)</f>
        <v>0</v>
      </c>
      <c r="O35">
        <f>IFERROR(FactTable[[#This Row],[cantidadUsadaServicio]]*FactTable[[#This Row],[costoServicio$]]/FactTable[[#This Row],[unidadUsadaServicio]],0)</f>
        <v>0</v>
      </c>
      <c r="P35" t="s">
        <v>58</v>
      </c>
      <c r="U35" s="3">
        <v>0.37</v>
      </c>
    </row>
    <row r="36" spans="1:22" x14ac:dyDescent="0.3">
      <c r="A36" t="s">
        <v>43</v>
      </c>
      <c r="B36" t="s">
        <v>67</v>
      </c>
      <c r="C36" t="s">
        <v>15</v>
      </c>
      <c r="I36" s="3">
        <f>IFERROR(FactTable[[#This Row],[cantidadUsadaMaterial]]*FactTable[[#This Row],[costoMaterial$]]/FactTable[[#This Row],[unidadUsadaMaterial]],0)</f>
        <v>0</v>
      </c>
      <c r="O36">
        <f>IFERROR(FactTable[[#This Row],[cantidadUsadaServicio]]*FactTable[[#This Row],[costoServicio$]]/FactTable[[#This Row],[unidadUsadaServicio]],0)</f>
        <v>0</v>
      </c>
      <c r="U36" s="3">
        <f>IFERROR(FactTable[[#This Row],[cantidadUsadaManoObra]]*FactTable[[#This Row],[costoManoObra$]]/FactTable[[#This Row],[unidadUsadaManoObra]],0)</f>
        <v>0</v>
      </c>
      <c r="V36">
        <v>0.3</v>
      </c>
    </row>
    <row r="37" spans="1:22" x14ac:dyDescent="0.3">
      <c r="A37" t="s">
        <v>117</v>
      </c>
      <c r="B37" t="s">
        <v>59</v>
      </c>
      <c r="C37" t="s">
        <v>0</v>
      </c>
      <c r="D37" t="s">
        <v>52</v>
      </c>
      <c r="I37" s="3">
        <v>0.111</v>
      </c>
      <c r="O37">
        <f>IFERROR(FactTable[[#This Row],[cantidadUsadaServicio]]*FactTable[[#This Row],[costoServicio$]]/FactTable[[#This Row],[unidadUsadaServicio]],0)</f>
        <v>0</v>
      </c>
      <c r="U37" s="3">
        <f>IFERROR(FactTable[[#This Row],[cantidadUsadaManoObra]]*FactTable[[#This Row],[costoManoObra$]]/FactTable[[#This Row],[unidadUsadaManoObra]],0)</f>
        <v>0</v>
      </c>
    </row>
    <row r="38" spans="1:22" x14ac:dyDescent="0.3">
      <c r="A38" t="s">
        <v>117</v>
      </c>
      <c r="B38" t="s">
        <v>59</v>
      </c>
      <c r="C38" t="s">
        <v>0</v>
      </c>
      <c r="D38" t="s">
        <v>118</v>
      </c>
      <c r="I38" s="3">
        <v>0.157</v>
      </c>
      <c r="O38">
        <f>IFERROR(FactTable[[#This Row],[cantidadUsadaServicio]]*FactTable[[#This Row],[costoServicio$]]/FactTable[[#This Row],[unidadUsadaServicio]],0)</f>
        <v>0</v>
      </c>
      <c r="U38" s="3">
        <f>IFERROR(FactTable[[#This Row],[cantidadUsadaManoObra]]*FactTable[[#This Row],[costoManoObra$]]/FactTable[[#This Row],[unidadUsadaManoObra]],0)</f>
        <v>0</v>
      </c>
    </row>
    <row r="39" spans="1:22" x14ac:dyDescent="0.3">
      <c r="A39" t="s">
        <v>117</v>
      </c>
      <c r="B39" t="s">
        <v>59</v>
      </c>
      <c r="C39" t="s">
        <v>0</v>
      </c>
      <c r="D39" t="s">
        <v>66</v>
      </c>
      <c r="I39" s="3">
        <v>1.4999999999999999E-2</v>
      </c>
      <c r="O39">
        <f>IFERROR(FactTable[[#This Row],[cantidadUsadaServicio]]*FactTable[[#This Row],[costoServicio$]]/FactTable[[#This Row],[unidadUsadaServicio]],0)</f>
        <v>0</v>
      </c>
      <c r="U39" s="3">
        <f>IFERROR(FactTable[[#This Row],[cantidadUsadaManoObra]]*FactTable[[#This Row],[costoManoObra$]]/FactTable[[#This Row],[unidadUsadaManoObra]],0)</f>
        <v>0</v>
      </c>
    </row>
    <row r="40" spans="1:22" x14ac:dyDescent="0.3">
      <c r="A40" t="s">
        <v>117</v>
      </c>
      <c r="B40" t="s">
        <v>59</v>
      </c>
      <c r="C40" t="s">
        <v>0</v>
      </c>
      <c r="D40" t="s">
        <v>49</v>
      </c>
      <c r="I40" s="3">
        <v>0.06</v>
      </c>
      <c r="O40">
        <f>IFERROR(FactTable[[#This Row],[cantidadUsadaServicio]]*FactTable[[#This Row],[costoServicio$]]/FactTable[[#This Row],[unidadUsadaServicio]],0)</f>
        <v>0</v>
      </c>
      <c r="U40" s="3">
        <f>IFERROR(FactTable[[#This Row],[cantidadUsadaManoObra]]*FactTable[[#This Row],[costoManoObra$]]/FactTable[[#This Row],[unidadUsadaManoObra]],0)</f>
        <v>0</v>
      </c>
    </row>
    <row r="41" spans="1:22" x14ac:dyDescent="0.3">
      <c r="A41" t="s">
        <v>117</v>
      </c>
      <c r="B41" t="s">
        <v>59</v>
      </c>
      <c r="C41" t="s">
        <v>1</v>
      </c>
      <c r="I41" s="3">
        <f>IFERROR(FactTable[[#This Row],[cantidadUsadaMaterial]]*FactTable[[#This Row],[costoMaterial$]]/FactTable[[#This Row],[unidadUsadaMaterial]],0)</f>
        <v>0</v>
      </c>
      <c r="J41" t="s">
        <v>119</v>
      </c>
      <c r="O41">
        <v>0.501</v>
      </c>
      <c r="U41" s="3">
        <f>IFERROR(FactTable[[#This Row],[cantidadUsadaManoObra]]*FactTable[[#This Row],[costoManoObra$]]/FactTable[[#This Row],[unidadUsadaManoObra]],0)</f>
        <v>0</v>
      </c>
    </row>
    <row r="42" spans="1:22" x14ac:dyDescent="0.3">
      <c r="A42" t="s">
        <v>117</v>
      </c>
      <c r="B42" t="s">
        <v>59</v>
      </c>
      <c r="C42" t="s">
        <v>1</v>
      </c>
      <c r="I42" s="3">
        <f>IFERROR(FactTable[[#This Row],[cantidadUsadaMaterial]]*FactTable[[#This Row],[costoMaterial$]]/FactTable[[#This Row],[unidadUsadaMaterial]],0)</f>
        <v>0</v>
      </c>
      <c r="J42" t="s">
        <v>57</v>
      </c>
      <c r="O42">
        <v>8.8999999999999996E-2</v>
      </c>
      <c r="U42" s="3">
        <f>IFERROR(FactTable[[#This Row],[cantidadUsadaManoObra]]*FactTable[[#This Row],[costoManoObra$]]/FactTable[[#This Row],[unidadUsadaManoObra]],0)</f>
        <v>0</v>
      </c>
    </row>
    <row r="43" spans="1:22" x14ac:dyDescent="0.3">
      <c r="A43" t="s">
        <v>117</v>
      </c>
      <c r="B43" t="s">
        <v>59</v>
      </c>
      <c r="C43" t="s">
        <v>1</v>
      </c>
      <c r="I43" s="3">
        <f>IFERROR(FactTable[[#This Row],[cantidadUsadaMaterial]]*FactTable[[#This Row],[costoMaterial$]]/FactTable[[#This Row],[unidadUsadaMaterial]],0)</f>
        <v>0</v>
      </c>
      <c r="J43" t="s">
        <v>62</v>
      </c>
      <c r="O43">
        <v>1.7000000000000001E-2</v>
      </c>
      <c r="U43" s="3">
        <f>IFERROR(FactTable[[#This Row],[cantidadUsadaManoObra]]*FactTable[[#This Row],[costoManoObra$]]/FactTable[[#This Row],[unidadUsadaManoObra]],0)</f>
        <v>0</v>
      </c>
    </row>
    <row r="44" spans="1:22" x14ac:dyDescent="0.3">
      <c r="A44" t="s">
        <v>117</v>
      </c>
      <c r="B44" t="s">
        <v>59</v>
      </c>
      <c r="C44" t="s">
        <v>1</v>
      </c>
      <c r="I44" s="3">
        <f>IFERROR(FactTable[[#This Row],[cantidadUsadaMaterial]]*FactTable[[#This Row],[costoMaterial$]]/FactTable[[#This Row],[unidadUsadaMaterial]],0)</f>
        <v>0</v>
      </c>
      <c r="J44" t="s">
        <v>60</v>
      </c>
      <c r="O44">
        <v>5.0000000000000001E-3</v>
      </c>
      <c r="U44" s="3">
        <f>IFERROR(FactTable[[#This Row],[cantidadUsadaManoObra]]*FactTable[[#This Row],[costoManoObra$]]/FactTable[[#This Row],[unidadUsadaManoObra]],0)</f>
        <v>0</v>
      </c>
    </row>
    <row r="45" spans="1:22" x14ac:dyDescent="0.3">
      <c r="A45" t="s">
        <v>117</v>
      </c>
      <c r="B45" t="s">
        <v>59</v>
      </c>
      <c r="C45" t="s">
        <v>2</v>
      </c>
      <c r="I45" s="3">
        <f>IFERROR(FactTable[[#This Row],[cantidadUsadaMaterial]]*FactTable[[#This Row],[costoMaterial$]]/FactTable[[#This Row],[unidadUsadaMaterial]],0)</f>
        <v>0</v>
      </c>
      <c r="O45">
        <f>IFERROR(FactTable[[#This Row],[cantidadUsadaServicio]]*FactTable[[#This Row],[costoServicio$]]/FactTable[[#This Row],[unidadUsadaServicio]],0)</f>
        <v>0</v>
      </c>
      <c r="P45" t="s">
        <v>58</v>
      </c>
      <c r="U45" s="3">
        <v>0.875</v>
      </c>
    </row>
    <row r="46" spans="1:22" x14ac:dyDescent="0.3">
      <c r="A46" t="s">
        <v>117</v>
      </c>
      <c r="B46" t="s">
        <v>59</v>
      </c>
      <c r="C46" t="s">
        <v>15</v>
      </c>
      <c r="I46" s="3">
        <f>IFERROR(FactTable[[#This Row],[cantidadUsadaMaterial]]*FactTable[[#This Row],[costoMaterial$]]/FactTable[[#This Row],[unidadUsadaMaterial]],0)</f>
        <v>0</v>
      </c>
      <c r="O46">
        <f>IFERROR(FactTable[[#This Row],[cantidadUsadaServicio]]*FactTable[[#This Row],[costoServicio$]]/FactTable[[#This Row],[unidadUsadaServicio]],0)</f>
        <v>0</v>
      </c>
      <c r="U46" s="3">
        <f>IFERROR(FactTable[[#This Row],[cantidadUsadaManoObra]]*FactTable[[#This Row],[costoManoObra$]]/FactTable[[#This Row],[unidadUsadaManoObra]],0)</f>
        <v>0</v>
      </c>
      <c r="V46">
        <v>0.5</v>
      </c>
    </row>
    <row r="47" spans="1:22" x14ac:dyDescent="0.3">
      <c r="A47" t="s">
        <v>126</v>
      </c>
      <c r="B47" t="s">
        <v>67</v>
      </c>
      <c r="C47" t="s">
        <v>0</v>
      </c>
      <c r="D47" t="s">
        <v>120</v>
      </c>
      <c r="I47" s="3">
        <v>0.3</v>
      </c>
      <c r="O47">
        <f>IFERROR(FactTable[[#This Row],[cantidadUsadaServicio]]*FactTable[[#This Row],[costoServicio$]]/FactTable[[#This Row],[unidadUsadaServicio]],0)</f>
        <v>0</v>
      </c>
      <c r="U47" s="3">
        <f>IFERROR(FactTable[[#This Row],[cantidadUsadaManoObra]]*FactTable[[#This Row],[costoManoObra$]]/FactTable[[#This Row],[unidadUsadaManoObra]],0)</f>
        <v>0</v>
      </c>
    </row>
    <row r="48" spans="1:22" x14ac:dyDescent="0.3">
      <c r="A48" t="s">
        <v>126</v>
      </c>
      <c r="B48" t="s">
        <v>67</v>
      </c>
      <c r="C48" t="s">
        <v>0</v>
      </c>
      <c r="D48" t="s">
        <v>123</v>
      </c>
      <c r="I48" s="3">
        <v>0.16200000000000001</v>
      </c>
      <c r="O48">
        <f>IFERROR(FactTable[[#This Row],[cantidadUsadaServicio]]*FactTable[[#This Row],[costoServicio$]]/FactTable[[#This Row],[unidadUsadaServicio]],0)</f>
        <v>0</v>
      </c>
      <c r="U48" s="3">
        <f>IFERROR(FactTable[[#This Row],[cantidadUsadaManoObra]]*FactTable[[#This Row],[costoManoObra$]]/FactTable[[#This Row],[unidadUsadaManoObra]],0)</f>
        <v>0</v>
      </c>
    </row>
    <row r="49" spans="1:22" x14ac:dyDescent="0.3">
      <c r="A49" t="s">
        <v>126</v>
      </c>
      <c r="B49" t="s">
        <v>67</v>
      </c>
      <c r="C49" t="s">
        <v>0</v>
      </c>
      <c r="D49" t="s">
        <v>124</v>
      </c>
      <c r="I49" s="3">
        <v>6.5000000000000002E-2</v>
      </c>
      <c r="O49">
        <f>IFERROR(FactTable[[#This Row],[cantidadUsadaServicio]]*FactTable[[#This Row],[costoServicio$]]/FactTable[[#This Row],[unidadUsadaServicio]],0)</f>
        <v>0</v>
      </c>
      <c r="U49" s="3">
        <f>IFERROR(FactTable[[#This Row],[cantidadUsadaManoObra]]*FactTable[[#This Row],[costoManoObra$]]/FactTable[[#This Row],[unidadUsadaManoObra]],0)</f>
        <v>0</v>
      </c>
    </row>
    <row r="50" spans="1:22" x14ac:dyDescent="0.3">
      <c r="A50" t="s">
        <v>126</v>
      </c>
      <c r="B50" t="s">
        <v>67</v>
      </c>
      <c r="C50" t="s">
        <v>0</v>
      </c>
      <c r="D50" t="s">
        <v>118</v>
      </c>
      <c r="I50" s="3">
        <v>0.214</v>
      </c>
      <c r="O50">
        <f>IFERROR(FactTable[[#This Row],[cantidadUsadaServicio]]*FactTable[[#This Row],[costoServicio$]]/FactTable[[#This Row],[unidadUsadaServicio]],0)</f>
        <v>0</v>
      </c>
      <c r="U50" s="3">
        <f>IFERROR(FactTable[[#This Row],[cantidadUsadaManoObra]]*FactTable[[#This Row],[costoManoObra$]]/FactTable[[#This Row],[unidadUsadaManoObra]],0)</f>
        <v>0</v>
      </c>
    </row>
    <row r="51" spans="1:22" x14ac:dyDescent="0.3">
      <c r="A51" t="s">
        <v>126</v>
      </c>
      <c r="B51" t="s">
        <v>67</v>
      </c>
      <c r="C51" t="s">
        <v>0</v>
      </c>
      <c r="D51" t="s">
        <v>66</v>
      </c>
      <c r="I51" s="3">
        <v>1.2999999999999999E-2</v>
      </c>
      <c r="O51">
        <f>IFERROR(FactTable[[#This Row],[cantidadUsadaServicio]]*FactTable[[#This Row],[costoServicio$]]/FactTable[[#This Row],[unidadUsadaServicio]],0)</f>
        <v>0</v>
      </c>
      <c r="U51" s="3">
        <f>IFERROR(FactTable[[#This Row],[cantidadUsadaManoObra]]*FactTable[[#This Row],[costoManoObra$]]/FactTable[[#This Row],[unidadUsadaManoObra]],0)</f>
        <v>0</v>
      </c>
    </row>
    <row r="52" spans="1:22" x14ac:dyDescent="0.3">
      <c r="A52" t="s">
        <v>126</v>
      </c>
      <c r="B52" t="s">
        <v>67</v>
      </c>
      <c r="C52" t="s">
        <v>0</v>
      </c>
      <c r="D52" t="s">
        <v>49</v>
      </c>
      <c r="I52" s="3">
        <v>0.06</v>
      </c>
      <c r="O52">
        <f>IFERROR(FactTable[[#This Row],[cantidadUsadaServicio]]*FactTable[[#This Row],[costoServicio$]]/FactTable[[#This Row],[unidadUsadaServicio]],0)</f>
        <v>0</v>
      </c>
      <c r="U52" s="3">
        <f>IFERROR(FactTable[[#This Row],[cantidadUsadaManoObra]]*FactTable[[#This Row],[costoManoObra$]]/FactTable[[#This Row],[unidadUsadaManoObra]],0)</f>
        <v>0</v>
      </c>
    </row>
    <row r="53" spans="1:22" x14ac:dyDescent="0.3">
      <c r="A53" t="s">
        <v>126</v>
      </c>
      <c r="B53" t="s">
        <v>67</v>
      </c>
      <c r="C53" t="s">
        <v>1</v>
      </c>
      <c r="I53" s="3">
        <f>IFERROR(FactTable[[#This Row],[cantidadUsadaMaterial]]*FactTable[[#This Row],[costoMaterial$]]/FactTable[[#This Row],[unidadUsadaMaterial]],0)</f>
        <v>0</v>
      </c>
      <c r="J53" t="s">
        <v>57</v>
      </c>
      <c r="O53">
        <v>8.8999999999999996E-2</v>
      </c>
      <c r="U53" s="3">
        <f>IFERROR(FactTable[[#This Row],[cantidadUsadaManoObra]]*FactTable[[#This Row],[costoManoObra$]]/FactTable[[#This Row],[unidadUsadaManoObra]],0)</f>
        <v>0</v>
      </c>
    </row>
    <row r="54" spans="1:22" x14ac:dyDescent="0.3">
      <c r="A54" t="s">
        <v>126</v>
      </c>
      <c r="B54" t="s">
        <v>67</v>
      </c>
      <c r="C54" t="s">
        <v>1</v>
      </c>
      <c r="I54" s="3">
        <f>IFERROR(FactTable[[#This Row],[cantidadUsadaMaterial]]*FactTable[[#This Row],[costoMaterial$]]/FactTable[[#This Row],[unidadUsadaMaterial]],0)</f>
        <v>0</v>
      </c>
      <c r="J54" t="s">
        <v>62</v>
      </c>
      <c r="O54">
        <v>1.7000000000000001E-2</v>
      </c>
      <c r="U54" s="3">
        <f>IFERROR(FactTable[[#This Row],[cantidadUsadaManoObra]]*FactTable[[#This Row],[costoManoObra$]]/FactTable[[#This Row],[unidadUsadaManoObra]],0)</f>
        <v>0</v>
      </c>
    </row>
    <row r="55" spans="1:22" x14ac:dyDescent="0.3">
      <c r="A55" t="s">
        <v>126</v>
      </c>
      <c r="B55" t="s">
        <v>67</v>
      </c>
      <c r="C55" t="s">
        <v>1</v>
      </c>
      <c r="I55" s="3">
        <f>IFERROR(FactTable[[#This Row],[cantidadUsadaMaterial]]*FactTable[[#This Row],[costoMaterial$]]/FactTable[[#This Row],[unidadUsadaMaterial]],0)</f>
        <v>0</v>
      </c>
      <c r="J55" t="s">
        <v>60</v>
      </c>
      <c r="O55">
        <v>5.0000000000000001E-3</v>
      </c>
      <c r="U55" s="3">
        <f>IFERROR(FactTable[[#This Row],[cantidadUsadaManoObra]]*FactTable[[#This Row],[costoManoObra$]]/FactTable[[#This Row],[unidadUsadaManoObra]],0)</f>
        <v>0</v>
      </c>
    </row>
    <row r="56" spans="1:22" x14ac:dyDescent="0.3">
      <c r="A56" t="s">
        <v>126</v>
      </c>
      <c r="B56" t="s">
        <v>67</v>
      </c>
      <c r="C56" t="s">
        <v>1</v>
      </c>
      <c r="I56" s="3">
        <f>IFERROR(FactTable[[#This Row],[cantidadUsadaMaterial]]*FactTable[[#This Row],[costoMaterial$]]/FactTable[[#This Row],[unidadUsadaMaterial]],0)</f>
        <v>0</v>
      </c>
      <c r="J56" t="s">
        <v>119</v>
      </c>
      <c r="U56" s="3">
        <f>IFERROR(FactTable[[#This Row],[cantidadUsadaManoObra]]*FactTable[[#This Row],[costoManoObra$]]/FactTable[[#This Row],[unidadUsadaManoObra]],0)</f>
        <v>0</v>
      </c>
    </row>
    <row r="57" spans="1:22" x14ac:dyDescent="0.3">
      <c r="A57" t="s">
        <v>126</v>
      </c>
      <c r="B57" t="s">
        <v>67</v>
      </c>
      <c r="C57" t="s">
        <v>2</v>
      </c>
      <c r="I57" s="3">
        <f>IFERROR(FactTable[[#This Row],[cantidadUsadaMaterial]]*FactTable[[#This Row],[costoMaterial$]]/FactTable[[#This Row],[unidadUsadaMaterial]],0)</f>
        <v>0</v>
      </c>
      <c r="O57">
        <f>IFERROR(FactTable[[#This Row],[cantidadUsadaServicio]]*FactTable[[#This Row],[costoServicio$]]/FactTable[[#This Row],[unidadUsadaServicio]],0)</f>
        <v>0</v>
      </c>
      <c r="P57" t="s">
        <v>58</v>
      </c>
      <c r="U57" s="3">
        <v>1.56</v>
      </c>
    </row>
    <row r="58" spans="1:22" x14ac:dyDescent="0.3">
      <c r="A58" t="s">
        <v>126</v>
      </c>
      <c r="B58" t="s">
        <v>67</v>
      </c>
      <c r="C58" t="s">
        <v>15</v>
      </c>
      <c r="I58" s="3">
        <f>IFERROR(FactTable[[#This Row],[cantidadUsadaMaterial]]*FactTable[[#This Row],[costoMaterial$]]/FactTable[[#This Row],[unidadUsadaMaterial]],0)</f>
        <v>0</v>
      </c>
      <c r="O58">
        <f>IFERROR(FactTable[[#This Row],[cantidadUsadaServicio]]*FactTable[[#This Row],[costoServicio$]]/FactTable[[#This Row],[unidadUsadaServicio]],0)</f>
        <v>0</v>
      </c>
      <c r="U58" s="3">
        <f>IFERROR(FactTable[[#This Row],[cantidadUsadaManoObra]]*FactTable[[#This Row],[costoManoObra$]]/FactTable[[#This Row],[unidadUsadaManoObra]],0)</f>
        <v>0</v>
      </c>
      <c r="V58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4.77734375" bestFit="1" customWidth="1"/>
    <col min="2" max="2" width="18.88671875" bestFit="1" customWidth="1"/>
    <col min="3" max="3" width="8.33203125" bestFit="1" customWidth="1"/>
    <col min="4" max="4" width="13.109375" bestFit="1" customWidth="1"/>
    <col min="5" max="5" width="10.6640625" bestFit="1" customWidth="1"/>
    <col min="7" max="7" width="21.6640625" customWidth="1"/>
    <col min="8" max="8" width="15.5546875" customWidth="1"/>
  </cols>
  <sheetData>
    <row r="1" spans="1:11" x14ac:dyDescent="0.3">
      <c r="A1" s="4" t="s">
        <v>27</v>
      </c>
      <c r="B1" t="s">
        <v>55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>
        <v>0</v>
      </c>
      <c r="D4" s="3">
        <v>0.37</v>
      </c>
      <c r="G4" t="s">
        <v>18</v>
      </c>
      <c r="H4" s="7">
        <f>B8+C8+D8</f>
        <v>4.07</v>
      </c>
      <c r="J4" t="str">
        <f>B3</f>
        <v>Materiales</v>
      </c>
      <c r="K4" s="7">
        <f>B8</f>
        <v>3.25</v>
      </c>
    </row>
    <row r="5" spans="1:11" x14ac:dyDescent="0.3">
      <c r="A5" s="5" t="s">
        <v>15</v>
      </c>
      <c r="B5" s="3">
        <v>0</v>
      </c>
      <c r="C5">
        <v>0</v>
      </c>
      <c r="D5" s="3">
        <v>0</v>
      </c>
      <c r="E5">
        <v>0.6</v>
      </c>
      <c r="G5" t="s">
        <v>19</v>
      </c>
      <c r="H5" s="9">
        <f>H4*E8</f>
        <v>2.4420000000000002</v>
      </c>
      <c r="J5" t="str">
        <f>C3</f>
        <v>Servicios</v>
      </c>
      <c r="K5" s="7">
        <f>C8</f>
        <v>0.45</v>
      </c>
    </row>
    <row r="6" spans="1:11" x14ac:dyDescent="0.3">
      <c r="A6" s="5" t="s">
        <v>0</v>
      </c>
      <c r="B6" s="3">
        <v>3.25</v>
      </c>
      <c r="C6">
        <v>0</v>
      </c>
      <c r="D6" s="3">
        <v>0</v>
      </c>
      <c r="G6" t="s">
        <v>20</v>
      </c>
      <c r="H6" s="7">
        <f>SUM(H4:H5)</f>
        <v>6.5120000000000005</v>
      </c>
      <c r="J6" t="str">
        <f>D3</f>
        <v>Mano de Obra</v>
      </c>
      <c r="K6" s="7">
        <f>D8</f>
        <v>0.37</v>
      </c>
    </row>
    <row r="7" spans="1:11" x14ac:dyDescent="0.3">
      <c r="A7" s="5" t="s">
        <v>1</v>
      </c>
      <c r="B7" s="3">
        <v>0</v>
      </c>
      <c r="C7">
        <v>0.45</v>
      </c>
      <c r="D7" s="3">
        <v>0</v>
      </c>
    </row>
    <row r="8" spans="1:11" x14ac:dyDescent="0.3">
      <c r="A8" s="5" t="s">
        <v>17</v>
      </c>
      <c r="B8" s="7">
        <v>3.25</v>
      </c>
      <c r="C8" s="7">
        <v>0.45</v>
      </c>
      <c r="D8" s="7">
        <v>0.37</v>
      </c>
      <c r="E8" s="8">
        <v>0.6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C5" sqref="C5"/>
    </sheetView>
  </sheetViews>
  <sheetFormatPr baseColWidth="10" defaultRowHeight="14.4" x14ac:dyDescent="0.3"/>
  <cols>
    <col min="1" max="1" width="30.6640625" bestFit="1" customWidth="1"/>
    <col min="2" max="2" width="25.3320312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68</v>
      </c>
      <c r="B1" s="14" t="s">
        <v>46</v>
      </c>
      <c r="C1" s="14" t="s">
        <v>81</v>
      </c>
      <c r="D1" s="14" t="s">
        <v>86</v>
      </c>
    </row>
    <row r="2" spans="1:4" ht="18.600000000000001" x14ac:dyDescent="0.45">
      <c r="A2" s="14" t="s">
        <v>69</v>
      </c>
      <c r="B2" s="14" t="s">
        <v>74</v>
      </c>
      <c r="C2" s="14" t="s">
        <v>73</v>
      </c>
      <c r="D2" s="14">
        <v>1</v>
      </c>
    </row>
    <row r="3" spans="1:4" ht="18.600000000000001" x14ac:dyDescent="0.45">
      <c r="A3" s="14" t="s">
        <v>45</v>
      </c>
      <c r="B3" s="14" t="s">
        <v>45</v>
      </c>
      <c r="C3" s="14" t="s">
        <v>82</v>
      </c>
      <c r="D3" s="14">
        <v>1</v>
      </c>
    </row>
    <row r="4" spans="1:4" ht="18.600000000000001" x14ac:dyDescent="0.45">
      <c r="A4" s="14" t="s">
        <v>70</v>
      </c>
      <c r="B4" s="14" t="s">
        <v>109</v>
      </c>
      <c r="C4" s="14" t="s">
        <v>85</v>
      </c>
      <c r="D4" s="14">
        <v>1</v>
      </c>
    </row>
    <row r="5" spans="1:4" ht="18.600000000000001" x14ac:dyDescent="0.45">
      <c r="A5" s="14" t="s">
        <v>69</v>
      </c>
      <c r="B5" s="14" t="s">
        <v>91</v>
      </c>
      <c r="C5" s="14" t="s">
        <v>73</v>
      </c>
      <c r="D5" s="14">
        <v>2</v>
      </c>
    </row>
    <row r="6" spans="1:4" ht="18.600000000000001" x14ac:dyDescent="0.45">
      <c r="A6" s="14" t="s">
        <v>69</v>
      </c>
      <c r="B6" s="14" t="s">
        <v>92</v>
      </c>
      <c r="C6" s="14" t="s">
        <v>73</v>
      </c>
      <c r="D6" s="14">
        <v>3</v>
      </c>
    </row>
    <row r="7" spans="1:4" ht="18.600000000000001" x14ac:dyDescent="0.45">
      <c r="A7" s="14" t="s">
        <v>70</v>
      </c>
      <c r="B7" s="14" t="s">
        <v>105</v>
      </c>
      <c r="C7" s="14" t="s">
        <v>85</v>
      </c>
      <c r="D7" s="14">
        <v>2</v>
      </c>
    </row>
    <row r="8" spans="1:4" ht="18.600000000000001" x14ac:dyDescent="0.45">
      <c r="A8" s="14" t="s">
        <v>71</v>
      </c>
      <c r="B8" s="14" t="s">
        <v>101</v>
      </c>
      <c r="C8" s="14" t="s">
        <v>83</v>
      </c>
      <c r="D8" s="14">
        <v>2</v>
      </c>
    </row>
    <row r="9" spans="1:4" ht="18.600000000000001" x14ac:dyDescent="0.45">
      <c r="A9" s="14" t="s">
        <v>72</v>
      </c>
      <c r="B9" s="14" t="s">
        <v>75</v>
      </c>
      <c r="C9" s="14" t="s">
        <v>84</v>
      </c>
      <c r="D9" s="14">
        <v>5</v>
      </c>
    </row>
    <row r="10" spans="1:4" ht="18.600000000000001" x14ac:dyDescent="0.45">
      <c r="A10" s="14" t="s">
        <v>72</v>
      </c>
      <c r="B10" s="14" t="s">
        <v>76</v>
      </c>
      <c r="C10" s="14" t="s">
        <v>84</v>
      </c>
      <c r="D10" s="14">
        <v>4</v>
      </c>
    </row>
    <row r="11" spans="1:4" ht="18.600000000000001" x14ac:dyDescent="0.45">
      <c r="A11" s="14" t="s">
        <v>72</v>
      </c>
      <c r="B11" s="14" t="s">
        <v>77</v>
      </c>
      <c r="C11" s="14" t="s">
        <v>84</v>
      </c>
      <c r="D11" s="14">
        <v>6</v>
      </c>
    </row>
    <row r="12" spans="1:4" ht="18.600000000000001" x14ac:dyDescent="0.45">
      <c r="A12" s="14" t="s">
        <v>72</v>
      </c>
      <c r="B12" s="14" t="s">
        <v>78</v>
      </c>
      <c r="C12" s="14" t="s">
        <v>84</v>
      </c>
      <c r="D12" s="14">
        <v>7</v>
      </c>
    </row>
    <row r="13" spans="1:4" ht="18.600000000000001" x14ac:dyDescent="0.45">
      <c r="A13" s="14" t="s">
        <v>72</v>
      </c>
      <c r="B13" s="14" t="s">
        <v>79</v>
      </c>
      <c r="C13" s="14" t="s">
        <v>84</v>
      </c>
      <c r="D13" s="14">
        <v>3</v>
      </c>
    </row>
    <row r="14" spans="1:4" ht="18.600000000000001" x14ac:dyDescent="0.45">
      <c r="A14" s="14" t="s">
        <v>72</v>
      </c>
      <c r="B14" s="14" t="s">
        <v>80</v>
      </c>
      <c r="C14" s="14" t="s">
        <v>84</v>
      </c>
      <c r="D14" s="14">
        <v>2</v>
      </c>
    </row>
    <row r="15" spans="1:4" ht="18.600000000000001" x14ac:dyDescent="0.45">
      <c r="A15" s="14" t="s">
        <v>72</v>
      </c>
      <c r="B15" s="14" t="s">
        <v>106</v>
      </c>
      <c r="C15" s="14" t="s">
        <v>84</v>
      </c>
      <c r="D15" s="14">
        <v>1</v>
      </c>
    </row>
    <row r="16" spans="1:4" ht="18.600000000000001" x14ac:dyDescent="0.45">
      <c r="A16" s="14" t="s">
        <v>71</v>
      </c>
      <c r="B16" s="14" t="s">
        <v>110</v>
      </c>
      <c r="C16" s="14" t="s">
        <v>83</v>
      </c>
      <c r="D16" s="14">
        <v>1</v>
      </c>
    </row>
    <row r="17" spans="1:4" ht="18.600000000000001" x14ac:dyDescent="0.45">
      <c r="A17" s="14" t="s">
        <v>71</v>
      </c>
      <c r="B17" s="14" t="s">
        <v>102</v>
      </c>
      <c r="C17" s="14" t="s">
        <v>83</v>
      </c>
      <c r="D17" s="14">
        <v>5</v>
      </c>
    </row>
    <row r="18" spans="1:4" ht="18.600000000000001" x14ac:dyDescent="0.45">
      <c r="A18" s="14" t="s">
        <v>87</v>
      </c>
      <c r="B18" s="14" t="s">
        <v>88</v>
      </c>
      <c r="C18" s="14" t="s">
        <v>89</v>
      </c>
      <c r="D18" s="14">
        <v>1</v>
      </c>
    </row>
    <row r="19" spans="1:4" ht="18.600000000000001" x14ac:dyDescent="0.45">
      <c r="A19" s="14" t="s">
        <v>70</v>
      </c>
      <c r="B19" s="14" t="s">
        <v>107</v>
      </c>
      <c r="C19" s="14" t="s">
        <v>85</v>
      </c>
      <c r="D19" s="14">
        <v>3</v>
      </c>
    </row>
    <row r="20" spans="1:4" ht="18.600000000000001" x14ac:dyDescent="0.45">
      <c r="A20" s="14" t="s">
        <v>70</v>
      </c>
      <c r="B20" s="14" t="s">
        <v>108</v>
      </c>
      <c r="C20" s="14" t="s">
        <v>85</v>
      </c>
      <c r="D20" s="14">
        <v>4</v>
      </c>
    </row>
    <row r="21" spans="1:4" ht="18.600000000000001" x14ac:dyDescent="0.45">
      <c r="A21" s="14" t="s">
        <v>71</v>
      </c>
      <c r="B21" s="14" t="s">
        <v>103</v>
      </c>
      <c r="C21" s="14" t="s">
        <v>83</v>
      </c>
      <c r="D21" s="14">
        <v>3</v>
      </c>
    </row>
    <row r="22" spans="1:4" ht="18.600000000000001" x14ac:dyDescent="0.45">
      <c r="A22" s="14" t="s">
        <v>71</v>
      </c>
      <c r="B22" s="14" t="s">
        <v>104</v>
      </c>
      <c r="C22" s="14" t="s">
        <v>83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G28"/>
  <sheetViews>
    <sheetView workbookViewId="0"/>
  </sheetViews>
  <sheetFormatPr baseColWidth="10" defaultColWidth="11.5546875" defaultRowHeight="18.600000000000001" x14ac:dyDescent="0.45"/>
  <cols>
    <col min="1" max="1" width="33.44140625" style="14" bestFit="1" customWidth="1"/>
    <col min="2" max="2" width="30.6640625" style="14" bestFit="1" customWidth="1"/>
    <col min="3" max="3" width="24.88671875" style="14" bestFit="1" customWidth="1"/>
    <col min="4" max="4" width="30" style="14" bestFit="1" customWidth="1"/>
    <col min="5" max="5" width="21.5546875" style="14" bestFit="1" customWidth="1"/>
    <col min="6" max="6" width="24.88671875" style="14" bestFit="1" customWidth="1"/>
    <col min="7" max="7" width="10.6640625" style="14" bestFit="1" customWidth="1"/>
    <col min="8" max="16384" width="11.5546875" style="14"/>
  </cols>
  <sheetData>
    <row r="1" spans="1:7" x14ac:dyDescent="0.45">
      <c r="A1" s="14" t="s">
        <v>31</v>
      </c>
      <c r="B1" s="14" t="s">
        <v>68</v>
      </c>
      <c r="C1" s="14" t="s">
        <v>111</v>
      </c>
      <c r="D1" s="14" t="s">
        <v>113</v>
      </c>
      <c r="E1" s="14" t="s">
        <v>114</v>
      </c>
      <c r="F1" s="14" t="s">
        <v>112</v>
      </c>
      <c r="G1" s="14" t="s">
        <v>42</v>
      </c>
    </row>
    <row r="2" spans="1:7" x14ac:dyDescent="0.45">
      <c r="A2" s="14" t="s">
        <v>52</v>
      </c>
      <c r="B2" s="14" t="s">
        <v>69</v>
      </c>
      <c r="C2" s="14" t="s">
        <v>74</v>
      </c>
      <c r="D2" s="26">
        <v>9</v>
      </c>
      <c r="E2" s="14" t="s">
        <v>91</v>
      </c>
      <c r="F2" s="26">
        <v>10</v>
      </c>
      <c r="G2" s="26">
        <v>10</v>
      </c>
    </row>
    <row r="3" spans="1:7" x14ac:dyDescent="0.45">
      <c r="A3" s="14" t="s">
        <v>120</v>
      </c>
      <c r="B3" s="14" t="s">
        <v>69</v>
      </c>
      <c r="C3" s="14" t="s">
        <v>74</v>
      </c>
      <c r="D3" s="26">
        <v>8</v>
      </c>
      <c r="E3" s="14" t="s">
        <v>91</v>
      </c>
      <c r="F3" s="26">
        <v>30</v>
      </c>
      <c r="G3" s="26">
        <v>8</v>
      </c>
    </row>
    <row r="4" spans="1:7" x14ac:dyDescent="0.45">
      <c r="A4" s="14" t="s">
        <v>121</v>
      </c>
      <c r="D4" s="26"/>
      <c r="F4" s="26"/>
      <c r="G4" s="26"/>
    </row>
    <row r="5" spans="1:7" x14ac:dyDescent="0.45">
      <c r="A5" s="14" t="s">
        <v>122</v>
      </c>
      <c r="D5" s="26"/>
      <c r="F5" s="26"/>
      <c r="G5" s="26"/>
    </row>
    <row r="6" spans="1:7" x14ac:dyDescent="0.45">
      <c r="A6" s="14" t="s">
        <v>123</v>
      </c>
      <c r="B6" s="14" t="s">
        <v>69</v>
      </c>
      <c r="C6" s="14" t="s">
        <v>74</v>
      </c>
      <c r="D6" s="26">
        <v>26</v>
      </c>
      <c r="E6" s="14" t="s">
        <v>91</v>
      </c>
      <c r="F6" s="26">
        <v>60</v>
      </c>
      <c r="G6" s="26">
        <v>7</v>
      </c>
    </row>
    <row r="7" spans="1:7" x14ac:dyDescent="0.45">
      <c r="A7" s="14" t="s">
        <v>124</v>
      </c>
      <c r="B7" s="14" t="s">
        <v>69</v>
      </c>
      <c r="C7" s="14" t="s">
        <v>74</v>
      </c>
      <c r="D7" s="26">
        <v>46</v>
      </c>
      <c r="E7" s="14" t="s">
        <v>91</v>
      </c>
      <c r="F7" s="26">
        <v>50</v>
      </c>
      <c r="G7" s="26">
        <v>6</v>
      </c>
    </row>
    <row r="8" spans="1:7" x14ac:dyDescent="0.45">
      <c r="A8" s="14" t="s">
        <v>139</v>
      </c>
      <c r="D8" s="26"/>
      <c r="F8" s="26"/>
      <c r="G8" s="26"/>
    </row>
    <row r="9" spans="1:7" x14ac:dyDescent="0.45">
      <c r="A9" s="14" t="s">
        <v>140</v>
      </c>
      <c r="D9" s="26"/>
      <c r="F9" s="26"/>
      <c r="G9" s="26"/>
    </row>
    <row r="10" spans="1:7" x14ac:dyDescent="0.45">
      <c r="A10" s="14" t="s">
        <v>133</v>
      </c>
      <c r="B10" s="14" t="s">
        <v>45</v>
      </c>
      <c r="C10" s="14" t="s">
        <v>45</v>
      </c>
      <c r="D10" s="26">
        <v>100</v>
      </c>
      <c r="E10" s="14" t="s">
        <v>45</v>
      </c>
      <c r="F10" s="26">
        <v>9</v>
      </c>
      <c r="G10" s="26">
        <v>3.6</v>
      </c>
    </row>
    <row r="11" spans="1:7" x14ac:dyDescent="0.45">
      <c r="A11" s="14" t="s">
        <v>66</v>
      </c>
      <c r="B11" s="14" t="s">
        <v>45</v>
      </c>
      <c r="C11" s="14" t="s">
        <v>45</v>
      </c>
      <c r="D11" s="26">
        <v>100</v>
      </c>
      <c r="E11" s="14" t="s">
        <v>45</v>
      </c>
      <c r="F11" s="26">
        <v>1</v>
      </c>
      <c r="G11" s="26">
        <v>1.3</v>
      </c>
    </row>
    <row r="12" spans="1:7" x14ac:dyDescent="0.45">
      <c r="A12" s="14" t="s">
        <v>56</v>
      </c>
    </row>
    <row r="13" spans="1:7" x14ac:dyDescent="0.45">
      <c r="A13" s="14" t="s">
        <v>118</v>
      </c>
      <c r="B13" s="14" t="s">
        <v>45</v>
      </c>
      <c r="C13" s="14" t="s">
        <v>45</v>
      </c>
      <c r="D13" s="26">
        <v>129</v>
      </c>
      <c r="E13" s="14" t="s">
        <v>45</v>
      </c>
      <c r="F13" s="26">
        <v>46</v>
      </c>
      <c r="G13" s="26">
        <v>0.6</v>
      </c>
    </row>
    <row r="14" spans="1:7" x14ac:dyDescent="0.45">
      <c r="A14" s="14" t="s">
        <v>132</v>
      </c>
      <c r="B14" s="14" t="s">
        <v>45</v>
      </c>
      <c r="C14" s="14" t="s">
        <v>45</v>
      </c>
      <c r="D14" s="26">
        <v>1</v>
      </c>
      <c r="E14" s="14" t="s">
        <v>45</v>
      </c>
      <c r="F14" s="26">
        <v>1</v>
      </c>
      <c r="G14" s="26">
        <v>1</v>
      </c>
    </row>
    <row r="15" spans="1:7" x14ac:dyDescent="0.45">
      <c r="A15" s="14" t="s">
        <v>115</v>
      </c>
    </row>
    <row r="16" spans="1:7" x14ac:dyDescent="0.45">
      <c r="A16" s="14" t="s">
        <v>128</v>
      </c>
      <c r="B16" s="14" t="s">
        <v>45</v>
      </c>
      <c r="C16" s="14" t="s">
        <v>45</v>
      </c>
      <c r="D16" s="26">
        <v>40</v>
      </c>
      <c r="E16" s="14" t="s">
        <v>45</v>
      </c>
      <c r="F16" s="26">
        <v>1</v>
      </c>
      <c r="G16" s="26">
        <v>10</v>
      </c>
    </row>
    <row r="17" spans="1:7" x14ac:dyDescent="0.45">
      <c r="A17" s="14" t="s">
        <v>138</v>
      </c>
      <c r="D17" s="26"/>
      <c r="F17" s="26"/>
      <c r="G17" s="26"/>
    </row>
    <row r="18" spans="1:7" x14ac:dyDescent="0.45">
      <c r="A18" s="14" t="s">
        <v>136</v>
      </c>
      <c r="D18" s="26"/>
      <c r="F18" s="26"/>
      <c r="G18" s="26"/>
    </row>
    <row r="19" spans="1:7" x14ac:dyDescent="0.45">
      <c r="A19" s="14" t="s">
        <v>127</v>
      </c>
      <c r="B19" s="14" t="s">
        <v>69</v>
      </c>
      <c r="C19" s="14" t="s">
        <v>74</v>
      </c>
      <c r="D19" s="26">
        <v>45</v>
      </c>
      <c r="E19" s="14" t="s">
        <v>91</v>
      </c>
      <c r="F19" s="26">
        <v>215</v>
      </c>
      <c r="G19" s="26">
        <v>1.5</v>
      </c>
    </row>
    <row r="20" spans="1:7" x14ac:dyDescent="0.45">
      <c r="A20" s="14" t="s">
        <v>135</v>
      </c>
      <c r="D20" s="26"/>
      <c r="F20" s="26"/>
      <c r="G20" s="26"/>
    </row>
    <row r="21" spans="1:7" x14ac:dyDescent="0.45">
      <c r="A21" s="14" t="s">
        <v>64</v>
      </c>
    </row>
    <row r="22" spans="1:7" x14ac:dyDescent="0.45">
      <c r="A22" s="14" t="s">
        <v>48</v>
      </c>
    </row>
    <row r="23" spans="1:7" x14ac:dyDescent="0.45">
      <c r="A23" s="14" t="s">
        <v>47</v>
      </c>
    </row>
    <row r="24" spans="1:7" x14ac:dyDescent="0.45">
      <c r="A24" s="14" t="s">
        <v>137</v>
      </c>
      <c r="D24" s="26"/>
      <c r="F24" s="26"/>
      <c r="G24" s="26"/>
    </row>
    <row r="25" spans="1:7" x14ac:dyDescent="0.45">
      <c r="A25" s="14" t="s">
        <v>65</v>
      </c>
    </row>
    <row r="26" spans="1:7" x14ac:dyDescent="0.45">
      <c r="A26" s="14" t="s">
        <v>49</v>
      </c>
      <c r="B26" s="14" t="s">
        <v>45</v>
      </c>
      <c r="C26" s="14" t="s">
        <v>45</v>
      </c>
      <c r="D26" s="26">
        <v>100</v>
      </c>
      <c r="E26" s="14" t="s">
        <v>45</v>
      </c>
      <c r="F26" s="26">
        <v>1</v>
      </c>
      <c r="G26" s="26">
        <v>6</v>
      </c>
    </row>
    <row r="27" spans="1:7" x14ac:dyDescent="0.45">
      <c r="A27" s="14" t="s">
        <v>130</v>
      </c>
      <c r="B27" s="14" t="s">
        <v>69</v>
      </c>
      <c r="C27" s="14" t="s">
        <v>74</v>
      </c>
      <c r="D27" s="26">
        <v>100</v>
      </c>
      <c r="E27" s="14" t="s">
        <v>74</v>
      </c>
      <c r="F27" s="26">
        <v>4.5</v>
      </c>
      <c r="G27" s="26">
        <v>5</v>
      </c>
    </row>
    <row r="28" spans="1:7" x14ac:dyDescent="0.45">
      <c r="A28" s="14" t="s">
        <v>131</v>
      </c>
      <c r="B28" s="14" t="s">
        <v>45</v>
      </c>
      <c r="C28" s="14" t="s">
        <v>45</v>
      </c>
      <c r="D28" s="26">
        <v>1</v>
      </c>
      <c r="E28" s="14" t="s">
        <v>45</v>
      </c>
      <c r="F28" s="26">
        <v>1</v>
      </c>
      <c r="G28" s="26">
        <v>1.5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G5"/>
  <sheetViews>
    <sheetView workbookViewId="0">
      <selection activeCell="C22" sqref="C22"/>
    </sheetView>
  </sheetViews>
  <sheetFormatPr baseColWidth="10" defaultRowHeight="14.4" x14ac:dyDescent="0.3"/>
  <cols>
    <col min="1" max="1" width="17.109375" bestFit="1" customWidth="1"/>
    <col min="2" max="2" width="30.66406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33</v>
      </c>
      <c r="B1" s="14" t="s">
        <v>68</v>
      </c>
      <c r="C1" s="14" t="s">
        <v>111</v>
      </c>
      <c r="D1" s="14" t="s">
        <v>113</v>
      </c>
      <c r="E1" s="14" t="s">
        <v>114</v>
      </c>
      <c r="F1" s="14" t="s">
        <v>112</v>
      </c>
      <c r="G1" s="14" t="s">
        <v>42</v>
      </c>
    </row>
    <row r="2" spans="1:7" ht="18.600000000000001" x14ac:dyDescent="0.45">
      <c r="A2" s="14" t="s">
        <v>57</v>
      </c>
      <c r="B2" s="14" t="s">
        <v>72</v>
      </c>
      <c r="C2" s="14" t="s">
        <v>75</v>
      </c>
      <c r="D2" s="26">
        <v>1</v>
      </c>
      <c r="E2" s="14" t="s">
        <v>80</v>
      </c>
      <c r="F2" s="26">
        <v>45</v>
      </c>
      <c r="G2" s="26">
        <v>20</v>
      </c>
    </row>
    <row r="3" spans="1:7" ht="18.600000000000001" x14ac:dyDescent="0.45">
      <c r="A3" s="14" t="s">
        <v>60</v>
      </c>
      <c r="B3" s="14" t="s">
        <v>72</v>
      </c>
      <c r="C3" s="14" t="s">
        <v>77</v>
      </c>
      <c r="D3" s="26">
        <v>1</v>
      </c>
      <c r="E3" s="14" t="s">
        <v>79</v>
      </c>
      <c r="F3" s="26">
        <v>0.75</v>
      </c>
      <c r="G3" s="26">
        <v>5</v>
      </c>
    </row>
    <row r="4" spans="1:7" ht="18.600000000000001" x14ac:dyDescent="0.45">
      <c r="A4" s="14" t="s">
        <v>62</v>
      </c>
      <c r="B4" s="14" t="s">
        <v>72</v>
      </c>
      <c r="C4" s="14" t="s">
        <v>77</v>
      </c>
      <c r="D4" s="26">
        <v>1</v>
      </c>
      <c r="E4" s="14" t="s">
        <v>80</v>
      </c>
      <c r="F4" s="26">
        <v>30</v>
      </c>
      <c r="G4" s="26">
        <v>25</v>
      </c>
    </row>
    <row r="5" spans="1:7" ht="18.600000000000001" x14ac:dyDescent="0.45">
      <c r="A5" s="14" t="s">
        <v>119</v>
      </c>
      <c r="B5" s="14" t="s">
        <v>87</v>
      </c>
      <c r="C5" s="14" t="s">
        <v>88</v>
      </c>
      <c r="D5" s="26">
        <v>100</v>
      </c>
      <c r="E5" s="14" t="s">
        <v>88</v>
      </c>
      <c r="F5" s="26">
        <v>1.6699999570846558</v>
      </c>
      <c r="G5" s="26">
        <v>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G3"/>
  <sheetViews>
    <sheetView workbookViewId="0">
      <selection activeCell="C9" sqref="C9"/>
    </sheetView>
  </sheetViews>
  <sheetFormatPr baseColWidth="10" defaultColWidth="12.6640625" defaultRowHeight="14.4" x14ac:dyDescent="0.3"/>
  <cols>
    <col min="1" max="1" width="23.33203125" bestFit="1" customWidth="1"/>
    <col min="2" max="2" width="24.33203125" bestFit="1" customWidth="1"/>
    <col min="3" max="3" width="27.109375" bestFit="1" customWidth="1"/>
    <col min="4" max="4" width="32.33203125" bestFit="1" customWidth="1"/>
    <col min="5" max="5" width="23.664062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34</v>
      </c>
      <c r="B1" s="14" t="s">
        <v>68</v>
      </c>
      <c r="C1" s="14" t="s">
        <v>111</v>
      </c>
      <c r="D1" s="14" t="s">
        <v>113</v>
      </c>
      <c r="E1" s="14" t="s">
        <v>114</v>
      </c>
      <c r="F1" s="14" t="s">
        <v>112</v>
      </c>
      <c r="G1" s="14" t="s">
        <v>42</v>
      </c>
    </row>
    <row r="2" spans="1:7" ht="18.600000000000001" x14ac:dyDescent="0.45">
      <c r="A2" s="14" t="s">
        <v>58</v>
      </c>
      <c r="B2" s="14" t="s">
        <v>72</v>
      </c>
      <c r="C2" s="14" t="s">
        <v>79</v>
      </c>
      <c r="D2" s="26">
        <v>1</v>
      </c>
      <c r="E2" s="14" t="s">
        <v>79</v>
      </c>
      <c r="F2" s="26">
        <v>1</v>
      </c>
      <c r="G2" s="26">
        <v>3.12</v>
      </c>
    </row>
    <row r="3" spans="1:7" ht="18.600000000000001" x14ac:dyDescent="0.45">
      <c r="A3" s="14" t="s">
        <v>90</v>
      </c>
      <c r="B3" s="14" t="s">
        <v>72</v>
      </c>
      <c r="C3" s="14" t="s">
        <v>75</v>
      </c>
      <c r="D3" s="26">
        <v>1</v>
      </c>
      <c r="E3" s="14" t="s">
        <v>76</v>
      </c>
      <c r="F3" s="26">
        <v>2</v>
      </c>
      <c r="G3" s="26"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7"/>
  <sheetViews>
    <sheetView workbookViewId="0">
      <selection activeCell="A6" sqref="A6:XFD6"/>
    </sheetView>
  </sheetViews>
  <sheetFormatPr baseColWidth="10" defaultRowHeight="14.4" x14ac:dyDescent="0.3"/>
  <cols>
    <col min="1" max="1" width="33.6640625" customWidth="1"/>
  </cols>
  <sheetData>
    <row r="1" spans="1:1" ht="18.600000000000001" x14ac:dyDescent="0.45">
      <c r="A1" s="14" t="s">
        <v>36</v>
      </c>
    </row>
    <row r="2" spans="1:1" ht="18.600000000000001" x14ac:dyDescent="0.45">
      <c r="A2" s="14" t="s">
        <v>67</v>
      </c>
    </row>
    <row r="3" spans="1:1" ht="18.600000000000001" x14ac:dyDescent="0.45">
      <c r="A3" s="14" t="s">
        <v>59</v>
      </c>
    </row>
    <row r="4" spans="1:1" ht="18.600000000000001" x14ac:dyDescent="0.45">
      <c r="A4" s="14" t="s">
        <v>63</v>
      </c>
    </row>
    <row r="5" spans="1:1" ht="18.600000000000001" x14ac:dyDescent="0.45">
      <c r="A5" s="14" t="s">
        <v>125</v>
      </c>
    </row>
    <row r="6" spans="1:1" ht="18.600000000000001" x14ac:dyDescent="0.45">
      <c r="A6" s="14" t="s">
        <v>129</v>
      </c>
    </row>
    <row r="7" spans="1:1" ht="18.600000000000001" x14ac:dyDescent="0.45">
      <c r="A7" s="14" t="s">
        <v>134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27"/>
  <sheetViews>
    <sheetView workbookViewId="0">
      <selection activeCell="B8" sqref="B8"/>
    </sheetView>
  </sheetViews>
  <sheetFormatPr baseColWidth="10" defaultColWidth="12.44140625" defaultRowHeight="14.4" x14ac:dyDescent="0.3"/>
  <cols>
    <col min="2" max="2" width="189.6640625" bestFit="1" customWidth="1"/>
    <col min="3" max="3" width="25.33203125" bestFit="1" customWidth="1"/>
  </cols>
  <sheetData>
    <row r="1" spans="1:3" x14ac:dyDescent="0.3">
      <c r="A1" t="s">
        <v>40</v>
      </c>
      <c r="B1" t="s">
        <v>99</v>
      </c>
      <c r="C1" t="s">
        <v>100</v>
      </c>
    </row>
    <row r="2" spans="1:3" x14ac:dyDescent="0.3">
      <c r="A2" t="s">
        <v>39</v>
      </c>
      <c r="B2" t="s">
        <v>38</v>
      </c>
    </row>
    <row r="3" spans="1:3" x14ac:dyDescent="0.3">
      <c r="A3" t="s">
        <v>50</v>
      </c>
      <c r="B3" t="s">
        <v>51</v>
      </c>
    </row>
    <row r="4" spans="1:3" x14ac:dyDescent="0.3">
      <c r="A4" t="s">
        <v>53</v>
      </c>
      <c r="B4" t="s">
        <v>54</v>
      </c>
    </row>
    <row r="27" spans="3:3" x14ac:dyDescent="0.3">
      <c r="C27" s="3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UNIDADES</vt:lpstr>
      <vt:lpstr>MATERIALES</vt:lpstr>
      <vt:lpstr>SERVICIOS</vt:lpstr>
      <vt:lpstr>MANO_DE_OBRA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2025-04-20T22:37:11Z</dcterms:modified>
</cp:coreProperties>
</file>