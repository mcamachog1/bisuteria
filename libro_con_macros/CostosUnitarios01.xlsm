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13_ncr:20001_{FEEE6AE5-D0AF-45AA-B9F8-508628690A4B}" xr6:coauthVersionLast="47" xr6:coauthVersionMax="47" xr10:uidLastSave="{00000000-0000-0000-0000-000000000000}"/>
  <bookViews>
    <workbookView xWindow="28680" yWindow="-120" windowWidth="29040" windowHeight="15720" tabRatio="720" firstSheet="5" activeTab="5" xr2:uid="{0B71C527-0382-40E8-A093-3C2F1EE8DB8E}"/>
  </bookViews>
  <sheets>
    <sheet name="Licencia" sheetId="18" state="veryHidden" r:id="rId1"/>
    <sheet name="FactTable" sheetId="22" state="veryHidden" r:id="rId2"/>
    <sheet name="MATERIALES" sheetId="19" state="hidden" r:id="rId3"/>
    <sheet name="SERVICIOS" sheetId="20" state="hidden" r:id="rId4"/>
    <sheet name="MANO_DE_OBRA" sheetId="21" state="hidden" r:id="rId5"/>
    <sheet name="Formulario" sheetId="6" r:id="rId6"/>
    <sheet name="UNIDADES" sheetId="7" state="hidden" r:id="rId7"/>
    <sheet name="CATEGORIAS" sheetId="16" state="hidden" r:id="rId8"/>
    <sheet name="Notas" sheetId="9" r:id="rId9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6" l="1"/>
  <c r="K32" i="6"/>
  <c r="K31" i="6"/>
  <c r="B11" i="6"/>
  <c r="H16" i="6"/>
  <c r="M7" i="6" s="1"/>
  <c r="E16" i="6"/>
  <c r="M4" i="6" s="1"/>
  <c r="K16" i="6"/>
  <c r="M10" i="6" s="1"/>
  <c r="M13" i="6" l="1"/>
  <c r="M16" i="6" s="1"/>
</calcChain>
</file>

<file path=xl/sharedStrings.xml><?xml version="1.0" encoding="utf-8"?>
<sst xmlns="http://schemas.openxmlformats.org/spreadsheetml/2006/main" count="832" uniqueCount="170">
  <si>
    <t>Material</t>
  </si>
  <si>
    <t>Servicio</t>
  </si>
  <si>
    <t>Mano de Obra</t>
  </si>
  <si>
    <t>Margen</t>
  </si>
  <si>
    <t xml:space="preserve">NOMBRE </t>
  </si>
  <si>
    <t>MATERIAL</t>
  </si>
  <si>
    <t>SERVICIO</t>
  </si>
  <si>
    <t>MANO DE OBRA</t>
  </si>
  <si>
    <t>Total</t>
  </si>
  <si>
    <t>CATEGORIA</t>
  </si>
  <si>
    <t>Margen (% Ganancia)</t>
  </si>
  <si>
    <t>Numero</t>
  </si>
  <si>
    <t>COSTO TOTAL</t>
  </si>
  <si>
    <t>PRECIO</t>
  </si>
  <si>
    <t>ZARCILLOS SOLITARIO</t>
  </si>
  <si>
    <t>PULSERA MINIMALISTA</t>
  </si>
  <si>
    <t>UNIDAD</t>
  </si>
  <si>
    <t>UNIDADES</t>
  </si>
  <si>
    <t>PIEDRAS CUARZO</t>
  </si>
  <si>
    <t>ALAMBRE</t>
  </si>
  <si>
    <t>COLLAR DE PERLAS</t>
  </si>
  <si>
    <t>BROCHE</t>
  </si>
  <si>
    <t>GASOLINA</t>
  </si>
  <si>
    <t>ROMINA</t>
  </si>
  <si>
    <t>PULSERAS</t>
  </si>
  <si>
    <t>PULSERA OVALADA</t>
  </si>
  <si>
    <t>INTERNET</t>
  </si>
  <si>
    <t>COLLARES</t>
  </si>
  <si>
    <t>PERLAS</t>
  </si>
  <si>
    <t>TAPAS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</si>
  <si>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</si>
  <si>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</si>
  <si>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</si>
  <si>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</si>
  <si>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</si>
  <si>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</si>
  <si>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</si>
  <si>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</si>
  <si>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</si>
  <si>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</si>
  <si>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</si>
  <si>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</si>
  <si>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</si>
  <si>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</si>
  <si>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</si>
  <si>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</si>
  <si>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</si>
  <si>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</si>
  <si>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</si>
  <si>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</si>
  <si>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</si>
  <si>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</si>
  <si>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</si>
  <si>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CENTÍMETRO</t>
  </si>
  <si>
    <t>MILÍMETRO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</si>
  <si>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</si>
  <si>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</si>
  <si>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</si>
  <si>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</si>
  <si>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</si>
  <si>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</si>
  <si>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</si>
  <si>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</si>
  <si>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</si>
  <si>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</si>
  <si>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</si>
  <si>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</si>
  <si>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>CUERO</t>
  </si>
  <si>
    <t>PULSERA DE HOMBRE</t>
  </si>
  <si>
    <t>PULSERA ROMI</t>
  </si>
  <si>
    <t>CONTADOR</t>
  </si>
  <si>
    <t>ALAMBRE 18</t>
  </si>
  <si>
    <t>ALAMBRE 20</t>
  </si>
  <si>
    <t>ALAMBRE 22</t>
  </si>
  <si>
    <t>ALAMBRE 28</t>
  </si>
  <si>
    <t>ZARCILLOS LIS</t>
  </si>
  <si>
    <t>HILO CHINO</t>
  </si>
  <si>
    <t>DIJE PLATA</t>
  </si>
  <si>
    <t>ROSARIO</t>
  </si>
  <si>
    <t>TERLENCA</t>
  </si>
  <si>
    <t>VITELA</t>
  </si>
  <si>
    <t>CRUZ</t>
  </si>
  <si>
    <t>BALINES</t>
  </si>
  <si>
    <t>MOSTACILLA CALIBRADA</t>
  </si>
  <si>
    <t>GUAYA</t>
  </si>
  <si>
    <t>TAPA NUDOS</t>
  </si>
  <si>
    <t>GRAPAS</t>
  </si>
  <si>
    <t>ARGOLLAS</t>
  </si>
  <si>
    <t>Nombre</t>
  </si>
  <si>
    <t>Código</t>
  </si>
  <si>
    <t>Vencimiento</t>
  </si>
  <si>
    <t>Romina Mori</t>
  </si>
  <si>
    <t>ALAMBRE 24</t>
  </si>
  <si>
    <t>BALIN 3MM</t>
  </si>
  <si>
    <t>TARJETA</t>
  </si>
  <si>
    <t>ALAMBRE 26</t>
  </si>
  <si>
    <t>PERLAS PLASTICAS</t>
  </si>
  <si>
    <t>BALIN 5MM</t>
  </si>
  <si>
    <t>CARACOLES</t>
  </si>
  <si>
    <t>ESTRELLAS DE MAR</t>
  </si>
  <si>
    <t>PERLAS GOTA</t>
  </si>
  <si>
    <t>BOLSA TRANSPARENTE 8X10</t>
  </si>
  <si>
    <t>DIJE DE ESTRELLA</t>
  </si>
  <si>
    <t>PERLA CULTIVADA</t>
  </si>
  <si>
    <t>CRISTALES 3MM</t>
  </si>
  <si>
    <t>CRISTALES 4MM</t>
  </si>
  <si>
    <t>TELÉFONO</t>
  </si>
  <si>
    <t>CAMILA SUPPINI</t>
  </si>
  <si>
    <t>BOLSA</t>
  </si>
  <si>
    <t>CRISTALES</t>
  </si>
  <si>
    <t>ZARCILLS CORI</t>
  </si>
  <si>
    <t>ZARCILLO 3 PERLAS</t>
  </si>
  <si>
    <t>ZARCILLOS SOFIA</t>
  </si>
  <si>
    <t>ANILLO</t>
  </si>
  <si>
    <t>POSTRES</t>
  </si>
  <si>
    <t>ARROZ</t>
  </si>
  <si>
    <t>LECHE CONDENSADA</t>
  </si>
  <si>
    <t>CASCARA DE LIMON</t>
  </si>
  <si>
    <t>PALITO DE CANELA</t>
  </si>
  <si>
    <t>AGUA</t>
  </si>
  <si>
    <t>GAS</t>
  </si>
  <si>
    <t>LECHE LIQUIDA</t>
  </si>
  <si>
    <t>MARYVI</t>
  </si>
  <si>
    <t>ARROZ DOCE</t>
  </si>
  <si>
    <t>GAS DOMESTICO</t>
  </si>
  <si>
    <t>NUEVO MATERIAL</t>
  </si>
  <si>
    <t>NUEVO SERVICIO</t>
  </si>
  <si>
    <t>NUEVO!!</t>
  </si>
  <si>
    <t>NUEVA</t>
  </si>
  <si>
    <t>COLLAR STRELA</t>
  </si>
  <si>
    <t>MEDIDA DE COSTO</t>
  </si>
  <si>
    <t>CANTIDAD COMPRADA</t>
  </si>
  <si>
    <t>MEDIDA DE USO</t>
  </si>
  <si>
    <t>CANTIDAD DE USO</t>
  </si>
  <si>
    <t>nombreProducto</t>
  </si>
  <si>
    <t>categoriaProductos</t>
  </si>
  <si>
    <t>categoriaCostos</t>
  </si>
  <si>
    <t>descripcionMaterial</t>
  </si>
  <si>
    <t>unidadMaterial</t>
  </si>
  <si>
    <t>unidadUsadaMaterial</t>
  </si>
  <si>
    <t>costoMaterial$</t>
  </si>
  <si>
    <t>cantidadUsadaMaterial</t>
  </si>
  <si>
    <t>costoMaterialProducto</t>
  </si>
  <si>
    <t>descripcionServicio</t>
  </si>
  <si>
    <t>unidadServicio</t>
  </si>
  <si>
    <t>unidadUsadaServicio</t>
  </si>
  <si>
    <t>costoServicio$</t>
  </si>
  <si>
    <t>cantidadUsadaServicio</t>
  </si>
  <si>
    <t>costoServicioProducto</t>
  </si>
  <si>
    <t>descripcionManoObra</t>
  </si>
  <si>
    <t>unidadManoObra</t>
  </si>
  <si>
    <t>unidadUsadaManoObra</t>
  </si>
  <si>
    <t>costoManoObra$</t>
  </si>
  <si>
    <t>cantidadUsadaManoObra</t>
  </si>
  <si>
    <t>costoManoObraProducto</t>
  </si>
  <si>
    <t>% Margen</t>
  </si>
  <si>
    <t>NUEVO PRODUCTO</t>
  </si>
  <si>
    <t>PETRICA</t>
  </si>
  <si>
    <t>Usuario</t>
  </si>
  <si>
    <t>Fecha</t>
  </si>
  <si>
    <t>Al cambiar la B11 vuelve a colocar la formula si el cambio no es la formula</t>
  </si>
  <si>
    <t>COSTO</t>
  </si>
  <si>
    <t xml:space="preserve">MENSAJE DE ERROR: 'Error definido por la aplicación o el objeto'; PARAMETROS: '-5---------' </t>
  </si>
  <si>
    <t>C:\Users\mcama</t>
  </si>
  <si>
    <t>24/05/2025 08:51:13</t>
  </si>
  <si>
    <t>wsFormularioChange</t>
  </si>
  <si>
    <t xml:space="preserve">MENSAJE DE ERROR: 'Error definido por la aplicación o el objeto'; PARAMETROS: '-57---------' </t>
  </si>
  <si>
    <t>24/05/2025 08:52:36</t>
  </si>
  <si>
    <t xml:space="preserve">MENSAJE DE ERROR: 'Error en el método 'Range' de objeto '_Worksheet''; PARAMETROS: '-0.361---------' </t>
  </si>
  <si>
    <t>24/05/2025 08:55:30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</si>
</sst>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[$$-540A]#,##0.00"/>
    <numFmt numFmtId="166" formatCode="[$$-409]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  <fill>
      <patternFill patternType="solid">
        <fgColor theme="5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92D050"/>
        <bgColor theme="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4" fillId="0" borderId="0" xfId="0" applyFont="1"/>
    <xf numFmtId="2" fontId="4" fillId="0" borderId="0" xfId="0" applyNumberFormat="1" applyFont="1"/>
    <xf numFmtId="164" fontId="0" fillId="0" borderId="0" xfId="3" applyFont="1"/>
    <xf numFmtId="166" fontId="3" fillId="6" borderId="4" xfId="0" applyNumberFormat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9" fontId="0" fillId="0" borderId="0" xfId="1" applyFont="1" applyProtection="1"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3" fillId="6" borderId="4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7" fillId="0" borderId="0" xfId="2" applyProtection="1">
      <protection locked="0"/>
    </xf>
    <xf numFmtId="165" fontId="6" fillId="0" borderId="0" xfId="0" applyNumberFormat="1" applyFont="1" applyProtection="1">
      <protection locked="0"/>
    </xf>
    <xf numFmtId="9" fontId="4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Protection="1">
      <protection locked="0"/>
    </xf>
    <xf numFmtId="9" fontId="4" fillId="5" borderId="1" xfId="0" applyNumberFormat="1" applyFont="1" applyFill="1" applyBorder="1" applyAlignment="1" applyProtection="1">
      <alignment horizontal="left" vertical="center"/>
      <protection locked="0"/>
    </xf>
    <xf numFmtId="0" fontId="6" fillId="0" borderId="2" xfId="0" applyFont="1" applyBorder="1" applyProtection="1">
      <protection locked="0"/>
    </xf>
    <xf numFmtId="165" fontId="6" fillId="0" borderId="3" xfId="0" applyNumberFormat="1" applyFont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0" fontId="8" fillId="7" borderId="5" xfId="0" applyFont="1" applyFill="1" applyBorder="1" applyAlignment="1" applyProtection="1">
      <alignment horizontal="left" vertical="center"/>
      <protection locked="0"/>
    </xf>
    <xf numFmtId="0" fontId="8" fillId="8" borderId="7" xfId="0" applyFont="1" applyFill="1" applyBorder="1" applyAlignment="1" applyProtection="1">
      <alignment horizontal="left" vertical="center"/>
      <protection locked="0"/>
    </xf>
    <xf numFmtId="0" fontId="8" fillId="9" borderId="9" xfId="0" applyFont="1" applyFill="1" applyBorder="1" applyAlignment="1" applyProtection="1">
      <alignment horizontal="left" vertical="center"/>
      <protection locked="0"/>
    </xf>
    <xf numFmtId="9" fontId="4" fillId="5" borderId="1" xfId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165" fontId="4" fillId="0" borderId="10" xfId="0" applyNumberFormat="1" applyFont="1" applyBorder="1" applyAlignment="1">
      <alignment horizontal="center" vertical="center"/>
    </xf>
  </cellXfs>
  <cellStyles count="4">
    <cellStyle name="Hipervínculo" xfId="2" builtinId="8"/>
    <cellStyle name="Millares" xfId="3" builtinId="3"/>
    <cellStyle name="Normal" xfId="0" builtinId="0"/>
    <cellStyle name="Porcentaje" xfId="1" builtinId="5"/>
  </cellStyles>
  <dxfs count="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border outline="0">
        <bottom style="medium">
          <color indexed="64"/>
        </bottom>
      </border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2" formatCode="0.00"/>
    </dxf>
    <dxf>
      <numFmt numFmtId="0" formatCode="General"/>
    </dxf>
    <dxf>
      <numFmt numFmtId="2" formatCode="0.00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Formulario!$J$31:$J$33</c:f>
              <c:strCache>
                <c:ptCount val="3"/>
                <c:pt idx="0">
                  <c:v>MATERIAL</c:v>
                </c:pt>
                <c:pt idx="1">
                  <c:v>SERVICIO</c:v>
                </c:pt>
                <c:pt idx="2">
                  <c:v>MANO DE OBRA</c:v>
                </c:pt>
              </c:strCache>
            </c:strRef>
          </c:cat>
          <c:val>
            <c:numRef>
              <c:f>Formulario!$K$31:$K$33</c:f>
              <c:numCache>
                <c:formatCode>[$$-540A]#,##0.00</c:formatCode>
                <c:ptCount val="3"/>
                <c:pt idx="0">
                  <c:v>2.8220000000000001</c:v>
                </c:pt>
                <c:pt idx="1">
                  <c:v>0.36099999999999999</c:v>
                </c:pt>
                <c:pt idx="2">
                  <c:v>0.502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svg"/><Relationship Id="rId7" Type="http://schemas.microsoft.com/office/2007/relationships/hdphoto" Target="../media/hdphoto2.wdp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microsoft.com/office/2007/relationships/hdphoto" Target="../media/hdphoto1.wdp"/><Relationship Id="rId4" Type="http://schemas.openxmlformats.org/officeDocument/2006/relationships/image" Target="../media/image4.png"/><Relationship Id="rId9" Type="http://schemas.microsoft.com/office/2007/relationships/hdphoto" Target="../media/hdphoto3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3</xdr:col>
      <xdr:colOff>330834</xdr:colOff>
      <xdr:row>21</xdr:row>
      <xdr:rowOff>23229</xdr:rowOff>
    </xdr:from>
    <xdr:to>
      <xdr:col>7</xdr:col>
      <xdr:colOff>129273</xdr:colOff>
      <xdr:row>41</xdr:row>
      <xdr:rowOff>78900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95589</xdr:colOff>
      <xdr:row>12</xdr:row>
      <xdr:rowOff>8555</xdr:rowOff>
    </xdr:from>
    <xdr:to>
      <xdr:col>1</xdr:col>
      <xdr:colOff>18069</xdr:colOff>
      <xdr:row>13</xdr:row>
      <xdr:rowOff>38100</xdr:rowOff>
    </xdr:to>
    <xdr:pic macro="[0]!ActivarListasDeValores"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5589" y="3262295"/>
          <a:ext cx="280620" cy="273385"/>
        </a:xfrm>
        <a:prstGeom prst="rect">
          <a:avLst/>
        </a:prstGeom>
      </xdr:spPr>
    </xdr:pic>
    <xdr:clientData/>
  </xdr:twoCellAnchor>
  <xdr:twoCellAnchor>
    <xdr:from>
      <xdr:col>1</xdr:col>
      <xdr:colOff>19896</xdr:colOff>
      <xdr:row>17</xdr:row>
      <xdr:rowOff>9525</xdr:rowOff>
    </xdr:from>
    <xdr:to>
      <xdr:col>13</xdr:col>
      <xdr:colOff>40640</xdr:colOff>
      <xdr:row>20</xdr:row>
      <xdr:rowOff>35718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234209" y="4462463"/>
          <a:ext cx="13153337" cy="5619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390900" y="276226"/>
          <a:ext cx="381000" cy="295275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8905875" y="276226"/>
          <a:ext cx="381000" cy="295275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381750" y="276225"/>
          <a:ext cx="381000" cy="295275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  <xdr:twoCellAnchor editAs="oneCell">
    <xdr:from>
      <xdr:col>1</xdr:col>
      <xdr:colOff>2422909</xdr:colOff>
      <xdr:row>5</xdr:row>
      <xdr:rowOff>53340</xdr:rowOff>
    </xdr:from>
    <xdr:to>
      <xdr:col>1</xdr:col>
      <xdr:colOff>2651416</xdr:colOff>
      <xdr:row>5</xdr:row>
      <xdr:rowOff>243840</xdr:rowOff>
    </xdr:to>
    <xdr:pic macro="[0]!EliminarCategoria">
      <xdr:nvPicPr>
        <xdr:cNvPr id="11" name="Imagen 10">
          <a:extLst>
            <a:ext uri="{FF2B5EF4-FFF2-40B4-BE49-F238E27FC236}">
              <a16:creationId xmlns:a16="http://schemas.microsoft.com/office/drawing/2014/main" id="{CAFE32D2-DDD9-C70D-31EE-7F65065F24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10000" b="90000" l="20420" r="83252">
                      <a14:backgroundMark x1="54373" y1="24405" x2="54373" y2="24405"/>
                      <a14:backgroundMark x1="61217" y1="74405" x2="61217" y2="74405"/>
                      <a14:backgroundMark x1="44867" y1="26190" x2="44867" y2="26190"/>
                    </a14:backgroundRemoval>
                  </a14:imgEffect>
                </a14:imgLayer>
              </a14:imgProps>
            </a:ext>
          </a:extLst>
        </a:blip>
        <a:srcRect l="12566" r="8894"/>
        <a:stretch/>
      </xdr:blipFill>
      <xdr:spPr>
        <a:xfrm flipH="1">
          <a:off x="2651509" y="1409700"/>
          <a:ext cx="234222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198120</xdr:colOff>
          <xdr:row>0</xdr:row>
          <xdr:rowOff>121920</xdr:rowOff>
        </xdr:from>
        <xdr:to>
          <xdr:col>12</xdr:col>
          <xdr:colOff>1638300</xdr:colOff>
          <xdr:row>0</xdr:row>
          <xdr:rowOff>401955</xdr:rowOff>
        </xdr:to>
        <xdr:sp macro="" textlink="">
          <xdr:nvSpPr>
            <xdr:cNvPr id="1035" name="btnActualizarVersi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3C41BFF-2ECF-49B3-80F4-5DDB47E98D9B}" name="Tabla4" displayName="Tabla4" ref="A1:C2" totalsRowShown="0">
  <autoFilter ref="A1:C2" xr:uid="{83C41BFF-2ECF-49B3-80F4-5DDB47E98D9B}"/>
  <tableColumns count="3">
    <tableColumn id="1" xr3:uid="{4E74FC81-B833-4674-8EE7-34210CF3C842}" name="Nombre"/>
    <tableColumn id="2" xr3:uid="{4798EABA-95B8-4AFC-9D1A-BE05FC5CCD9D}" name="Código"/>
    <tableColumn id="3" xr3:uid="{D2E889A8-DA9C-4EC5-9F14-BB6A7CE99C0C}" name="Vencimi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2E4288A-B1C5-4340-A002-E71362A6561C}" name="FactTable" displayName="FactTable" ref="A1:V124" totalsRowShown="0">
  <tableColumns count="22">
    <tableColumn id="2" xr3:uid="{5F0FBDD7-657D-4702-AD06-4E344997457B}" name="nombreProducto"/>
    <tableColumn id="25" xr3:uid="{477F627C-04C1-49F7-A930-6AB6C0E08A46}" name="categoriaProductos"/>
    <tableColumn id="15" xr3:uid="{CFB54DAA-F962-4D77-A049-1AF783FC3F76}" name="categoriaCostos"/>
    <tableColumn id="3" xr3:uid="{C8EFF0AF-C6B9-4AA6-8506-E2E3ABEBD717}" name="descripcionMaterial"/>
    <tableColumn id="4" xr3:uid="{424E7FB4-DD6C-4549-8D8B-9CDE7533B4E5}" name="unidadMaterial"/>
    <tableColumn id="5" xr3:uid="{44F7AB03-C5D6-40B7-83F4-CF5C5C20F3A1}" name="unidadUsadaMaterial"/>
    <tableColumn id="6" xr3:uid="{72B2D7B6-77B1-43C3-A5A8-F2784D1B0DC2}" name="costoMaterial$"/>
    <tableColumn id="7" xr3:uid="{628EB98C-4BD1-49FE-BC99-A66BBB98C619}" name="cantidadUsadaMaterial"/>
    <tableColumn id="9" xr3:uid="{EB3E3D7B-D26F-476A-AD3A-EC0A77994B83}" name="costoMaterialProducto" dataDxfId="60"/>
    <tableColumn id="10" xr3:uid="{A98CA27D-16AF-4FDB-B3D1-B150BF3E0189}" name="descripcionServicio"/>
    <tableColumn id="12" xr3:uid="{7F483875-6C9B-45BA-8966-615D9B59FEDD}" name="unidadServicio"/>
    <tableColumn id="13" xr3:uid="{7570E686-162F-423A-B322-BD50DB9EA246}" name="unidadUsadaServicio"/>
    <tableColumn id="11" xr3:uid="{33668953-0BE7-4528-B25E-D2772473F210}" name="costoServicio$"/>
    <tableColumn id="23" xr3:uid="{229B5389-AF74-41B4-8324-06E0A347F4F3}" name="cantidadUsadaServicio"/>
    <tableColumn id="14" xr3:uid="{B2A6E9D3-7CB2-474F-ACA5-6914EB6B86D4}" name="costoServicioProducto" dataDxfId="59"/>
    <tableColumn id="16" xr3:uid="{B45B641F-F5E8-4705-8D16-2D14D18E48B7}" name="descripcionManoObra"/>
    <tableColumn id="17" xr3:uid="{8F849935-6BAB-4A36-A034-DE1DAFED0323}" name="unidadManoObra"/>
    <tableColumn id="18" xr3:uid="{F0891790-253E-49C3-88D4-DEDD84760346}" name="unidadUsadaManoObra"/>
    <tableColumn id="19" xr3:uid="{A246F64F-626C-4A9D-8119-D061451498C4}" name="costoManoObra$"/>
    <tableColumn id="21" xr3:uid="{A20F8F22-41CD-4A43-8F07-6B5BDE2EE2B7}" name="cantidadUsadaManoObra"/>
    <tableColumn id="20" xr3:uid="{37382EEC-6E22-46D5-88E2-F1FA5FF38E89}" name="costoManoObraProducto" dataDxfId="58"/>
    <tableColumn id="24" xr3:uid="{FC4F0CF4-1D52-4A49-89DF-63230F79B904}" name="% Margen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E1DBBC-99F1-41E7-A390-962FB9E80DA0}" name="MaestroMateriales" displayName="MaestroMateriales" ref="A1:G41" totalsRowShown="0" headerRowDxfId="57" dataDxfId="56">
  <sortState xmlns:xlrd2="http://schemas.microsoft.com/office/spreadsheetml/2017/richdata2" ref="A2:G35">
    <sortCondition ref="A1:A35"/>
  </sortState>
  <tableColumns count="7">
    <tableColumn id="1" xr3:uid="{F804D4C8-0608-47F3-88EE-2A2D6EE14BD0}" name="MATERIAL" dataDxfId="55"/>
    <tableColumn id="2" xr3:uid="{946DA9E8-AB39-477B-91AD-5FC2BB84F88A}" name="TIPO DE MEDIDA" dataDxfId="54"/>
    <tableColumn id="3" xr3:uid="{C866741B-ED1D-4DCD-B7E9-D60F61A725D7}" name="MEDIDA DE COSTO" dataDxfId="53"/>
    <tableColumn id="4" xr3:uid="{968AC0F1-DC30-43B3-90B3-A02746B187E2}" name="CANTIDAD COMPRADA" dataDxfId="52"/>
    <tableColumn id="5" xr3:uid="{C4E427A3-9BD9-4487-B403-6994CB653E8B}" name="MEDIDA DE USO" dataDxfId="51"/>
    <tableColumn id="6" xr3:uid="{C0944F73-E366-4A30-A722-3832A613A30A}" name="CANTIDAD DE USO" dataDxfId="50"/>
    <tableColumn id="7" xr3:uid="{D77AA4A1-9C07-4E69-B9C1-91BBEF9E1B27}" name="PRECIO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72B303-0AA8-49CA-A6A4-E4F5C47011C1}" name="MaestroServicios" displayName="MaestroServicios" ref="A1:G9" totalsRowShown="0" headerRowDxfId="48" dataDxfId="47">
  <sortState xmlns:xlrd2="http://schemas.microsoft.com/office/spreadsheetml/2017/richdata2" ref="A2:G5">
    <sortCondition ref="A1:A5"/>
  </sortState>
  <tableColumns count="7">
    <tableColumn id="1" xr3:uid="{ADB8C3CE-811C-4669-8C46-A7A41B661FBE}" name="SERVICIO" dataDxfId="46"/>
    <tableColumn id="5" xr3:uid="{3AC69A9D-6FA1-4B0A-84FF-1B79638DEEA3}" name="TIPO DE MEDIDA" dataDxfId="45"/>
    <tableColumn id="6" xr3:uid="{1187B99F-4FE1-4EEB-8593-B5F2C64F86DE}" name="MEDIDA DE COSTO" dataDxfId="44"/>
    <tableColumn id="9" xr3:uid="{E5D8FFD6-6005-42D8-9909-26533BFC2ECE}" name="CANTIDAD COMPRADA" dataDxfId="43"/>
    <tableColumn id="8" xr3:uid="{294DA591-C85E-47F6-928A-4BC7D08F6E78}" name="MEDIDA DE USO" dataDxfId="42"/>
    <tableColumn id="7" xr3:uid="{B2D9A334-785A-4485-9D6A-A5FD49394182}" name="CANTIDAD DE USO" dataDxfId="41"/>
    <tableColumn id="2" xr3:uid="{281B67F1-8506-41AD-82DC-B968C717FC33}" name="PRECIO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0456241-F714-4E58-921E-569DAC5EB34C}" name="MaestroManoDeObra" displayName="MaestroManoDeObra" ref="A1:G6" totalsRowShown="0" headerRowDxfId="39" dataDxfId="38">
  <tableColumns count="7">
    <tableColumn id="2" xr3:uid="{CBE91796-E736-4AAA-981B-CCD90A03BAA2}" name="MANO DE OBRA" dataDxfId="37"/>
    <tableColumn id="6" xr3:uid="{A3B3451C-7BF8-4EFF-85B9-CB3F1C81E7D9}" name="TIPO DE MEDIDA" dataDxfId="36"/>
    <tableColumn id="3" xr3:uid="{0EB0F59F-20BB-4DC5-B66A-372786F0D727}" name="MEDIDA DE COSTO" dataDxfId="35"/>
    <tableColumn id="4" xr3:uid="{91B873E3-1EA7-41A2-B23C-30CDD41AC3B9}" name="CANTIDAD COMPRADA" dataDxfId="34"/>
    <tableColumn id="1" xr3:uid="{707F1BC4-1372-440C-B76D-ECC8EF86F5EB}" name="MEDIDA DE USO" dataDxfId="33"/>
    <tableColumn id="5" xr3:uid="{73E83763-BFFF-446D-BF76-CC950CD75C0B}" name="CANTIDAD DE USO" dataDxfId="32"/>
    <tableColumn id="7" xr3:uid="{5BC66AA7-9B2E-44FB-BC31-4034B704827A}" name="PRECIO" dataDxfId="3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30" dataDxfId="29" totalsRowDxfId="27" tableBorderDxfId="28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dataDxfId="26" totalsRowDxfId="5"/>
    <tableColumn id="2" xr3:uid="{67F9B078-7971-4210-877B-9C9A2263ED2A}" name="COSTO" totalsRowFunction="sum" dataDxfId="25" totalsRow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24" dataDxfId="23" totalsRowDxfId="22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21" totalsRowDxfId="3"/>
    <tableColumn id="2" xr3:uid="{FED94907-3424-45B2-861F-853E156B063B}" name="COSTO" totalsRowFunction="sum" dataDxfId="20" totalsRowDxfId="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19" dataDxfId="18" totalsRowDxfId="17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16" totalsRowDxfId="1"/>
    <tableColumn id="2" xr3:uid="{D1EF3DFB-AA71-407B-AEF5-6C727B011AC1}" name="COSTO" totalsRowFunction="sum" dataDxfId="15" totalsRow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14" dataDxfId="13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12"/>
    <tableColumn id="1" xr3:uid="{E1A683EB-EE64-45BC-9626-90EF28F9D8EC}" name="UNIDADES" dataDxfId="11"/>
    <tableColumn id="4" xr3:uid="{79D4A729-AFF7-45E8-B9A1-FF1356E622DD}" name="TIPO DE MEDIDA CON EJEMPLO" dataDxfId="10"/>
    <tableColumn id="5" xr3:uid="{BC6A7262-7D1D-4DEF-B12A-AA80E287FA5C}" name="ORDENAR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7" totalsRowShown="0" headerRowDxfId="8" dataDxfId="7">
  <autoFilter ref="A1:A7" xr:uid="{C9559379-AFD8-4292-B689-A335C36E3551}"/>
  <tableColumns count="1">
    <tableColumn id="1" xr3:uid="{02001C19-3BE2-4C7C-98A6-3936C05D736A}" name="CATEGORIA" dataDxf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E5" totalsRowShown="0">
  <autoFilter ref="A1:E5" xr:uid="{3E3F5A1C-88C4-4F9C-9884-F9C70CB49814}"/>
  <tableColumns count="5">
    <tableColumn id="1" xr3:uid="{E288FD7C-2D92-4A56-BB85-44C9B9451D3E}" name="Numero"/>
    <tableColumn id="2" xr3:uid="{168903CB-8AEA-4798-AD73-5200EC5A96AF}" name="Descripcion"/>
    <tableColumn id="5" xr3:uid="{A3B3CD75-D58D-4ACA-B12F-9CE2B365D933}" name="Usuario"/>
    <tableColumn id="4" xr3:uid="{A556E670-C7D0-42A0-8CC4-1BDCC46DB431}" name="Fecha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0D29-68F9-4FAF-BA9F-DF9D7E06E7EB}">
  <sheetPr codeName="wsLicencia"/>
  <dimension ref="A1:C2"/>
  <sheetViews>
    <sheetView workbookViewId="0">
      <selection activeCell="C4" sqref="C4"/>
    </sheetView>
  </sheetViews>
  <sheetFormatPr baseColWidth="10" defaultRowHeight="14.4" x14ac:dyDescent="0.3"/>
  <cols>
    <col min="1" max="1" width="17.5546875" customWidth="1"/>
    <col min="2" max="2" width="9.109375" bestFit="1" customWidth="1"/>
    <col min="3" max="3" width="13.88671875" bestFit="1" customWidth="1"/>
  </cols>
  <sheetData>
    <row r="1" spans="1:3" x14ac:dyDescent="0.3">
      <c r="A1" t="s">
        <v>88</v>
      </c>
      <c r="B1" t="s">
        <v>89</v>
      </c>
      <c r="C1" t="s">
        <v>90</v>
      </c>
    </row>
    <row r="2" spans="1:3" x14ac:dyDescent="0.3">
      <c r="A2" t="s">
        <v>91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97F78-1782-4C3F-BE5C-281CAE644DFE}">
  <sheetPr codeName="wsFactTable"/>
  <dimension ref="A1:V124"/>
  <sheetViews>
    <sheetView workbookViewId="0">
      <pane ySplit="1" topLeftCell="A2" activePane="bottomLeft" state="frozen"/>
      <selection pane="bottomLeft" activeCell="A2" sqref="A2:IV119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33203125" customWidth="1"/>
    <col min="4" max="4" width="22.33203125" customWidth="1"/>
    <col min="5" max="5" width="21.5546875" customWidth="1"/>
    <col min="6" max="6" width="23.6640625" customWidth="1"/>
    <col min="7" max="7" width="23.3320312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664062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134</v>
      </c>
      <c r="B1" t="s">
        <v>135</v>
      </c>
      <c r="C1" t="s">
        <v>136</v>
      </c>
      <c r="D1" s="1" t="s">
        <v>137</v>
      </c>
      <c r="E1" s="1" t="s">
        <v>138</v>
      </c>
      <c r="F1" s="1" t="s">
        <v>139</v>
      </c>
      <c r="G1" s="1" t="s">
        <v>140</v>
      </c>
      <c r="H1" t="s">
        <v>141</v>
      </c>
      <c r="I1" s="2" t="s">
        <v>142</v>
      </c>
      <c r="J1" s="1" t="s">
        <v>143</v>
      </c>
      <c r="K1" s="1" t="s">
        <v>144</v>
      </c>
      <c r="L1" s="1" t="s">
        <v>145</v>
      </c>
      <c r="M1" s="1" t="s">
        <v>146</v>
      </c>
      <c r="N1" t="s">
        <v>147</v>
      </c>
      <c r="O1" t="s">
        <v>148</v>
      </c>
      <c r="P1" s="1" t="s">
        <v>149</v>
      </c>
      <c r="Q1" s="1" t="s">
        <v>150</v>
      </c>
      <c r="R1" s="1" t="s">
        <v>151</v>
      </c>
      <c r="S1" s="1" t="s">
        <v>152</v>
      </c>
      <c r="T1" t="s">
        <v>153</v>
      </c>
      <c r="U1" t="s">
        <v>154</v>
      </c>
      <c r="V1" t="s">
        <v>155</v>
      </c>
    </row>
    <row r="2" spans="1:22" x14ac:dyDescent="0.3">
      <c r="A2" t="s">
        <v>25</v>
      </c>
      <c r="B2" t="s">
        <v>24</v>
      </c>
      <c r="C2" t="s">
        <v>0</v>
      </c>
      <c r="D2" t="s">
        <v>18</v>
      </c>
      <c r="I2" s="3">
        <v>0.2</v>
      </c>
      <c r="O2">
        <v>0</v>
      </c>
      <c r="U2" s="3">
        <v>0</v>
      </c>
    </row>
    <row r="3" spans="1:22" x14ac:dyDescent="0.3">
      <c r="A3" t="s">
        <v>25</v>
      </c>
      <c r="B3" t="s">
        <v>24</v>
      </c>
      <c r="C3" t="s">
        <v>0</v>
      </c>
      <c r="D3" t="s">
        <v>19</v>
      </c>
      <c r="I3" s="3">
        <v>0.113</v>
      </c>
      <c r="O3">
        <v>0</v>
      </c>
      <c r="U3" s="3">
        <v>0</v>
      </c>
    </row>
    <row r="4" spans="1:22" x14ac:dyDescent="0.3">
      <c r="A4" t="s">
        <v>25</v>
      </c>
      <c r="B4" t="s">
        <v>24</v>
      </c>
      <c r="C4" t="s">
        <v>1</v>
      </c>
      <c r="I4" s="3">
        <v>0</v>
      </c>
      <c r="J4" t="s">
        <v>26</v>
      </c>
      <c r="O4">
        <v>0.5</v>
      </c>
      <c r="U4" s="3">
        <v>0</v>
      </c>
    </row>
    <row r="5" spans="1:22" x14ac:dyDescent="0.3">
      <c r="A5" t="s">
        <v>25</v>
      </c>
      <c r="B5" t="s">
        <v>24</v>
      </c>
      <c r="C5" t="s">
        <v>1</v>
      </c>
      <c r="I5" s="3">
        <v>0</v>
      </c>
      <c r="J5" t="s">
        <v>22</v>
      </c>
      <c r="O5">
        <v>8.8999999999999996E-2</v>
      </c>
      <c r="U5" s="3">
        <v>0</v>
      </c>
    </row>
    <row r="6" spans="1:22" x14ac:dyDescent="0.3">
      <c r="A6" t="s">
        <v>25</v>
      </c>
      <c r="B6" t="s">
        <v>24</v>
      </c>
      <c r="C6" t="s">
        <v>2</v>
      </c>
      <c r="I6" s="3">
        <v>0</v>
      </c>
      <c r="O6">
        <v>0</v>
      </c>
      <c r="P6" t="s">
        <v>23</v>
      </c>
      <c r="U6" s="3">
        <v>0.89</v>
      </c>
    </row>
    <row r="7" spans="1:22" x14ac:dyDescent="0.3">
      <c r="A7" t="s">
        <v>25</v>
      </c>
      <c r="B7" t="s">
        <v>24</v>
      </c>
      <c r="C7" t="s">
        <v>3</v>
      </c>
      <c r="I7" s="3">
        <v>0</v>
      </c>
      <c r="O7">
        <v>0</v>
      </c>
      <c r="U7" s="3">
        <v>0</v>
      </c>
      <c r="V7">
        <v>0.52</v>
      </c>
    </row>
    <row r="8" spans="1:22" x14ac:dyDescent="0.3">
      <c r="A8" t="s">
        <v>15</v>
      </c>
      <c r="B8" t="s">
        <v>24</v>
      </c>
      <c r="C8" t="s">
        <v>0</v>
      </c>
      <c r="D8" t="s">
        <v>19</v>
      </c>
      <c r="I8" s="3">
        <v>0.113</v>
      </c>
      <c r="O8">
        <v>0</v>
      </c>
      <c r="U8" s="3">
        <v>0</v>
      </c>
    </row>
    <row r="9" spans="1:22" x14ac:dyDescent="0.3">
      <c r="A9" t="s">
        <v>15</v>
      </c>
      <c r="B9" t="s">
        <v>24</v>
      </c>
      <c r="C9" t="s">
        <v>0</v>
      </c>
      <c r="D9" t="s">
        <v>94</v>
      </c>
      <c r="I9" s="3">
        <v>0.23</v>
      </c>
      <c r="O9">
        <v>0</v>
      </c>
      <c r="U9" s="3">
        <v>0</v>
      </c>
    </row>
    <row r="10" spans="1:22" x14ac:dyDescent="0.3">
      <c r="A10" t="s">
        <v>15</v>
      </c>
      <c r="B10" t="s">
        <v>24</v>
      </c>
      <c r="C10" t="s">
        <v>0</v>
      </c>
      <c r="D10" t="s">
        <v>21</v>
      </c>
      <c r="I10" s="3">
        <v>0.3</v>
      </c>
      <c r="O10">
        <v>0</v>
      </c>
      <c r="U10" s="3">
        <v>0</v>
      </c>
    </row>
    <row r="11" spans="1:22" x14ac:dyDescent="0.3">
      <c r="A11" t="s">
        <v>15</v>
      </c>
      <c r="B11" t="s">
        <v>24</v>
      </c>
      <c r="C11" t="s">
        <v>1</v>
      </c>
      <c r="I11" s="3">
        <v>0</v>
      </c>
      <c r="J11" t="s">
        <v>26</v>
      </c>
      <c r="O11">
        <v>5.25</v>
      </c>
      <c r="U11" s="3">
        <v>0</v>
      </c>
    </row>
    <row r="12" spans="1:22" x14ac:dyDescent="0.3">
      <c r="A12" t="s">
        <v>15</v>
      </c>
      <c r="B12" t="s">
        <v>24</v>
      </c>
      <c r="C12" t="s">
        <v>1</v>
      </c>
      <c r="I12" s="3">
        <v>0</v>
      </c>
      <c r="J12" t="s">
        <v>106</v>
      </c>
      <c r="O12">
        <v>2E-3</v>
      </c>
      <c r="U12" s="3">
        <v>0</v>
      </c>
    </row>
    <row r="13" spans="1:22" x14ac:dyDescent="0.3">
      <c r="A13" t="s">
        <v>15</v>
      </c>
      <c r="B13" t="s">
        <v>24</v>
      </c>
      <c r="C13" t="s">
        <v>1</v>
      </c>
      <c r="I13" s="3">
        <v>0</v>
      </c>
      <c r="J13" t="s">
        <v>22</v>
      </c>
      <c r="U13" s="3">
        <v>0</v>
      </c>
    </row>
    <row r="14" spans="1:22" x14ac:dyDescent="0.3">
      <c r="A14" t="s">
        <v>15</v>
      </c>
      <c r="B14" t="s">
        <v>24</v>
      </c>
      <c r="C14" t="s">
        <v>2</v>
      </c>
      <c r="I14" s="3">
        <v>0</v>
      </c>
      <c r="O14">
        <v>0</v>
      </c>
      <c r="P14" t="s">
        <v>23</v>
      </c>
      <c r="U14" s="3">
        <v>75</v>
      </c>
    </row>
    <row r="15" spans="1:22" x14ac:dyDescent="0.3">
      <c r="A15" t="s">
        <v>15</v>
      </c>
      <c r="B15" t="s">
        <v>24</v>
      </c>
      <c r="C15" t="s">
        <v>3</v>
      </c>
      <c r="I15" s="3">
        <v>0</v>
      </c>
      <c r="O15">
        <v>0</v>
      </c>
      <c r="U15" s="3">
        <v>0</v>
      </c>
      <c r="V15">
        <v>0.51</v>
      </c>
    </row>
    <row r="16" spans="1:22" x14ac:dyDescent="0.3">
      <c r="A16" t="s">
        <v>14</v>
      </c>
      <c r="B16" t="s">
        <v>30</v>
      </c>
      <c r="C16" t="s">
        <v>0</v>
      </c>
      <c r="D16" t="s">
        <v>19</v>
      </c>
      <c r="I16" s="3">
        <v>0.04</v>
      </c>
      <c r="O16">
        <v>0</v>
      </c>
      <c r="U16" s="3">
        <v>0</v>
      </c>
    </row>
    <row r="17" spans="1:22" x14ac:dyDescent="0.3">
      <c r="A17" t="s">
        <v>14</v>
      </c>
      <c r="B17" t="s">
        <v>30</v>
      </c>
      <c r="C17" t="s">
        <v>0</v>
      </c>
      <c r="D17" t="s">
        <v>28</v>
      </c>
      <c r="I17" s="3">
        <v>0.2</v>
      </c>
      <c r="O17">
        <v>0</v>
      </c>
      <c r="U17" s="3">
        <v>0</v>
      </c>
    </row>
    <row r="18" spans="1:22" x14ac:dyDescent="0.3">
      <c r="A18" t="s">
        <v>14</v>
      </c>
      <c r="B18" t="s">
        <v>30</v>
      </c>
      <c r="C18" t="s">
        <v>0</v>
      </c>
      <c r="D18" t="s">
        <v>108</v>
      </c>
      <c r="I18" s="3">
        <v>0.01</v>
      </c>
      <c r="O18">
        <v>0</v>
      </c>
      <c r="U18" s="3">
        <v>0</v>
      </c>
    </row>
    <row r="19" spans="1:22" x14ac:dyDescent="0.3">
      <c r="A19" t="s">
        <v>14</v>
      </c>
      <c r="B19" t="s">
        <v>30</v>
      </c>
      <c r="C19" t="s">
        <v>1</v>
      </c>
      <c r="I19" s="3">
        <v>0</v>
      </c>
      <c r="J19" t="s">
        <v>26</v>
      </c>
      <c r="O19">
        <v>0.03</v>
      </c>
      <c r="U19" s="3">
        <v>0</v>
      </c>
    </row>
    <row r="20" spans="1:22" x14ac:dyDescent="0.3">
      <c r="A20" t="s">
        <v>14</v>
      </c>
      <c r="B20" t="s">
        <v>30</v>
      </c>
      <c r="C20" t="s">
        <v>1</v>
      </c>
      <c r="I20" s="3">
        <v>0</v>
      </c>
      <c r="J20" t="s">
        <v>106</v>
      </c>
      <c r="O20">
        <v>0.08</v>
      </c>
      <c r="U20" s="3">
        <v>0</v>
      </c>
    </row>
    <row r="21" spans="1:22" x14ac:dyDescent="0.3">
      <c r="A21" t="s">
        <v>14</v>
      </c>
      <c r="B21" t="s">
        <v>30</v>
      </c>
      <c r="C21" t="s">
        <v>1</v>
      </c>
      <c r="I21" s="3">
        <v>0</v>
      </c>
      <c r="J21" t="s">
        <v>22</v>
      </c>
      <c r="O21">
        <v>8.8999999999999996E-2</v>
      </c>
      <c r="U21" s="3">
        <v>0</v>
      </c>
    </row>
    <row r="22" spans="1:22" x14ac:dyDescent="0.3">
      <c r="A22" t="s">
        <v>14</v>
      </c>
      <c r="B22" t="s">
        <v>30</v>
      </c>
      <c r="C22" t="s">
        <v>2</v>
      </c>
      <c r="I22" s="3">
        <v>0</v>
      </c>
      <c r="O22">
        <v>0</v>
      </c>
      <c r="P22" t="s">
        <v>23</v>
      </c>
      <c r="U22" s="3">
        <v>0.37</v>
      </c>
    </row>
    <row r="23" spans="1:22" x14ac:dyDescent="0.3">
      <c r="A23" t="s">
        <v>14</v>
      </c>
      <c r="B23" t="s">
        <v>30</v>
      </c>
      <c r="C23" t="s">
        <v>3</v>
      </c>
      <c r="I23" s="3">
        <v>0</v>
      </c>
      <c r="O23">
        <v>0</v>
      </c>
      <c r="U23" s="3">
        <v>0</v>
      </c>
      <c r="V23">
        <v>0.3</v>
      </c>
    </row>
    <row r="24" spans="1:22" x14ac:dyDescent="0.3">
      <c r="A24" t="s">
        <v>69</v>
      </c>
      <c r="B24" t="s">
        <v>24</v>
      </c>
      <c r="C24" t="s">
        <v>0</v>
      </c>
      <c r="D24" t="s">
        <v>19</v>
      </c>
      <c r="I24" s="3">
        <v>0.111</v>
      </c>
      <c r="O24">
        <v>0</v>
      </c>
      <c r="U24" s="3">
        <v>0</v>
      </c>
    </row>
    <row r="25" spans="1:22" x14ac:dyDescent="0.3">
      <c r="A25" t="s">
        <v>69</v>
      </c>
      <c r="B25" t="s">
        <v>24</v>
      </c>
      <c r="C25" t="s">
        <v>0</v>
      </c>
      <c r="D25" t="s">
        <v>109</v>
      </c>
      <c r="I25" s="3">
        <v>0.157</v>
      </c>
      <c r="O25">
        <v>0</v>
      </c>
      <c r="U25" s="3">
        <v>0</v>
      </c>
    </row>
    <row r="26" spans="1:22" x14ac:dyDescent="0.3">
      <c r="A26" t="s">
        <v>69</v>
      </c>
      <c r="B26" t="s">
        <v>24</v>
      </c>
      <c r="C26" t="s">
        <v>0</v>
      </c>
      <c r="D26" t="s">
        <v>108</v>
      </c>
      <c r="I26" s="3">
        <v>1.4999999999999999E-2</v>
      </c>
      <c r="O26">
        <v>0</v>
      </c>
      <c r="U26" s="3">
        <v>0</v>
      </c>
    </row>
    <row r="27" spans="1:22" x14ac:dyDescent="0.3">
      <c r="A27" t="s">
        <v>69</v>
      </c>
      <c r="B27" t="s">
        <v>24</v>
      </c>
      <c r="C27" t="s">
        <v>0</v>
      </c>
      <c r="D27" t="s">
        <v>94</v>
      </c>
      <c r="I27" s="3">
        <v>0.06</v>
      </c>
      <c r="O27">
        <v>0</v>
      </c>
      <c r="U27" s="3">
        <v>0</v>
      </c>
    </row>
    <row r="28" spans="1:22" x14ac:dyDescent="0.3">
      <c r="A28" t="s">
        <v>69</v>
      </c>
      <c r="B28" t="s">
        <v>24</v>
      </c>
      <c r="C28" t="s">
        <v>1</v>
      </c>
      <c r="I28" s="3">
        <v>0</v>
      </c>
      <c r="J28" t="s">
        <v>70</v>
      </c>
      <c r="O28">
        <v>0.501</v>
      </c>
      <c r="U28" s="3">
        <v>0</v>
      </c>
    </row>
    <row r="29" spans="1:22" x14ac:dyDescent="0.3">
      <c r="A29" t="s">
        <v>69</v>
      </c>
      <c r="B29" t="s">
        <v>24</v>
      </c>
      <c r="C29" t="s">
        <v>1</v>
      </c>
      <c r="I29" s="3">
        <v>0</v>
      </c>
      <c r="J29" t="s">
        <v>22</v>
      </c>
      <c r="O29">
        <v>8.8999999999999996E-2</v>
      </c>
      <c r="U29" s="3">
        <v>0</v>
      </c>
    </row>
    <row r="30" spans="1:22" x14ac:dyDescent="0.3">
      <c r="A30" t="s">
        <v>69</v>
      </c>
      <c r="B30" t="s">
        <v>24</v>
      </c>
      <c r="C30" t="s">
        <v>1</v>
      </c>
      <c r="I30" s="3">
        <v>0</v>
      </c>
      <c r="J30" t="s">
        <v>26</v>
      </c>
      <c r="O30">
        <v>1.7000000000000001E-2</v>
      </c>
      <c r="U30" s="3">
        <v>0</v>
      </c>
    </row>
    <row r="31" spans="1:22" x14ac:dyDescent="0.3">
      <c r="A31" t="s">
        <v>69</v>
      </c>
      <c r="B31" t="s">
        <v>24</v>
      </c>
      <c r="C31" t="s">
        <v>1</v>
      </c>
      <c r="I31" s="3">
        <v>0</v>
      </c>
      <c r="J31" t="s">
        <v>106</v>
      </c>
      <c r="O31">
        <v>5.0000000000000001E-3</v>
      </c>
      <c r="U31" s="3">
        <v>0</v>
      </c>
    </row>
    <row r="32" spans="1:22" x14ac:dyDescent="0.3">
      <c r="A32" t="s">
        <v>69</v>
      </c>
      <c r="B32" t="s">
        <v>24</v>
      </c>
      <c r="C32" t="s">
        <v>2</v>
      </c>
      <c r="I32" s="3">
        <v>0</v>
      </c>
      <c r="O32">
        <v>0</v>
      </c>
      <c r="P32" t="s">
        <v>23</v>
      </c>
      <c r="U32" s="3">
        <v>0.875</v>
      </c>
    </row>
    <row r="33" spans="1:22" x14ac:dyDescent="0.3">
      <c r="A33" t="s">
        <v>69</v>
      </c>
      <c r="B33" t="s">
        <v>24</v>
      </c>
      <c r="C33" t="s">
        <v>3</v>
      </c>
      <c r="I33" s="3">
        <v>0</v>
      </c>
      <c r="O33">
        <v>0</v>
      </c>
      <c r="U33" s="3">
        <v>0</v>
      </c>
      <c r="V33">
        <v>0.5</v>
      </c>
    </row>
    <row r="34" spans="1:22" x14ac:dyDescent="0.3">
      <c r="A34" t="s">
        <v>75</v>
      </c>
      <c r="B34" t="s">
        <v>30</v>
      </c>
      <c r="C34" t="s">
        <v>0</v>
      </c>
      <c r="D34" t="s">
        <v>71</v>
      </c>
      <c r="I34" s="3">
        <v>0.3</v>
      </c>
      <c r="O34">
        <v>0</v>
      </c>
      <c r="U34" s="3">
        <v>0</v>
      </c>
    </row>
    <row r="35" spans="1:22" x14ac:dyDescent="0.3">
      <c r="A35" t="s">
        <v>75</v>
      </c>
      <c r="B35" t="s">
        <v>30</v>
      </c>
      <c r="C35" t="s">
        <v>0</v>
      </c>
      <c r="D35" t="s">
        <v>92</v>
      </c>
      <c r="I35" s="3">
        <v>0.16200000000000001</v>
      </c>
      <c r="O35">
        <v>0</v>
      </c>
      <c r="U35" s="3">
        <v>0</v>
      </c>
    </row>
    <row r="36" spans="1:22" x14ac:dyDescent="0.3">
      <c r="A36" t="s">
        <v>75</v>
      </c>
      <c r="B36" t="s">
        <v>30</v>
      </c>
      <c r="C36" t="s">
        <v>0</v>
      </c>
      <c r="D36" t="s">
        <v>74</v>
      </c>
      <c r="I36" s="3">
        <v>6.5000000000000002E-2</v>
      </c>
      <c r="O36">
        <v>0</v>
      </c>
      <c r="U36" s="3">
        <v>0</v>
      </c>
    </row>
    <row r="37" spans="1:22" x14ac:dyDescent="0.3">
      <c r="A37" t="s">
        <v>75</v>
      </c>
      <c r="B37" t="s">
        <v>30</v>
      </c>
      <c r="C37" t="s">
        <v>0</v>
      </c>
      <c r="D37" t="s">
        <v>109</v>
      </c>
      <c r="I37" s="3">
        <v>0.214</v>
      </c>
      <c r="O37">
        <v>0</v>
      </c>
      <c r="U37" s="3">
        <v>0</v>
      </c>
    </row>
    <row r="38" spans="1:22" x14ac:dyDescent="0.3">
      <c r="A38" t="s">
        <v>75</v>
      </c>
      <c r="B38" t="s">
        <v>30</v>
      </c>
      <c r="C38" t="s">
        <v>0</v>
      </c>
      <c r="D38" t="s">
        <v>108</v>
      </c>
      <c r="I38" s="3">
        <v>1.2999999999999999E-2</v>
      </c>
      <c r="O38">
        <v>0</v>
      </c>
      <c r="U38" s="3">
        <v>0</v>
      </c>
    </row>
    <row r="39" spans="1:22" x14ac:dyDescent="0.3">
      <c r="A39" t="s">
        <v>75</v>
      </c>
      <c r="B39" t="s">
        <v>30</v>
      </c>
      <c r="C39" t="s">
        <v>0</v>
      </c>
      <c r="D39" t="s">
        <v>94</v>
      </c>
      <c r="I39" s="3">
        <v>0.06</v>
      </c>
      <c r="O39">
        <v>0</v>
      </c>
      <c r="U39" s="3">
        <v>0</v>
      </c>
    </row>
    <row r="40" spans="1:22" x14ac:dyDescent="0.3">
      <c r="A40" t="s">
        <v>75</v>
      </c>
      <c r="B40" t="s">
        <v>30</v>
      </c>
      <c r="C40" t="s">
        <v>1</v>
      </c>
      <c r="I40" s="3">
        <v>0</v>
      </c>
      <c r="J40" t="s">
        <v>22</v>
      </c>
      <c r="O40">
        <v>8.8999999999999996E-2</v>
      </c>
      <c r="U40" s="3">
        <v>0</v>
      </c>
    </row>
    <row r="41" spans="1:22" x14ac:dyDescent="0.3">
      <c r="A41" t="s">
        <v>75</v>
      </c>
      <c r="B41" t="s">
        <v>30</v>
      </c>
      <c r="C41" t="s">
        <v>1</v>
      </c>
      <c r="I41" s="3">
        <v>0</v>
      </c>
      <c r="J41" t="s">
        <v>26</v>
      </c>
      <c r="O41">
        <v>1.7000000000000001E-2</v>
      </c>
      <c r="U41" s="3">
        <v>0</v>
      </c>
    </row>
    <row r="42" spans="1:22" x14ac:dyDescent="0.3">
      <c r="A42" t="s">
        <v>75</v>
      </c>
      <c r="B42" t="s">
        <v>30</v>
      </c>
      <c r="C42" t="s">
        <v>1</v>
      </c>
      <c r="I42" s="3">
        <v>0</v>
      </c>
      <c r="J42" t="s">
        <v>106</v>
      </c>
      <c r="O42">
        <v>5.0000000000000001E-3</v>
      </c>
      <c r="U42" s="3">
        <v>0</v>
      </c>
    </row>
    <row r="43" spans="1:22" x14ac:dyDescent="0.3">
      <c r="A43" t="s">
        <v>75</v>
      </c>
      <c r="B43" t="s">
        <v>30</v>
      </c>
      <c r="C43" t="s">
        <v>1</v>
      </c>
      <c r="I43" s="3">
        <v>0</v>
      </c>
      <c r="J43" t="s">
        <v>70</v>
      </c>
      <c r="U43" s="3">
        <v>0</v>
      </c>
    </row>
    <row r="44" spans="1:22" x14ac:dyDescent="0.3">
      <c r="A44" t="s">
        <v>75</v>
      </c>
      <c r="B44" t="s">
        <v>30</v>
      </c>
      <c r="C44" t="s">
        <v>2</v>
      </c>
      <c r="I44" s="3">
        <v>0</v>
      </c>
      <c r="O44">
        <v>0</v>
      </c>
      <c r="P44" t="s">
        <v>23</v>
      </c>
      <c r="U44" s="3">
        <v>1.56</v>
      </c>
    </row>
    <row r="45" spans="1:22" x14ac:dyDescent="0.3">
      <c r="A45" t="s">
        <v>75</v>
      </c>
      <c r="B45" t="s">
        <v>30</v>
      </c>
      <c r="C45" t="s">
        <v>3</v>
      </c>
      <c r="I45" s="3">
        <v>0</v>
      </c>
      <c r="O45">
        <v>0</v>
      </c>
      <c r="U45" s="3">
        <v>0</v>
      </c>
      <c r="V45">
        <v>0.5</v>
      </c>
    </row>
    <row r="46" spans="1:22" x14ac:dyDescent="0.3">
      <c r="A46" t="s">
        <v>68</v>
      </c>
      <c r="B46" t="s">
        <v>24</v>
      </c>
      <c r="C46" t="s">
        <v>0</v>
      </c>
      <c r="D46" t="s">
        <v>19</v>
      </c>
      <c r="I46" s="3">
        <v>0.13200000000000001</v>
      </c>
      <c r="O46">
        <v>0</v>
      </c>
      <c r="U46" s="3">
        <v>0</v>
      </c>
    </row>
    <row r="47" spans="1:22" x14ac:dyDescent="0.3">
      <c r="A47" t="s">
        <v>68</v>
      </c>
      <c r="B47" t="s">
        <v>24</v>
      </c>
      <c r="C47" t="s">
        <v>0</v>
      </c>
      <c r="D47" t="s">
        <v>108</v>
      </c>
      <c r="I47" s="3">
        <v>6.7000000000000004E-2</v>
      </c>
      <c r="O47">
        <v>0</v>
      </c>
      <c r="U47" s="3">
        <v>0</v>
      </c>
    </row>
    <row r="48" spans="1:22" x14ac:dyDescent="0.3">
      <c r="A48" t="s">
        <v>68</v>
      </c>
      <c r="B48" t="s">
        <v>24</v>
      </c>
      <c r="C48" t="s">
        <v>0</v>
      </c>
      <c r="D48" t="s">
        <v>94</v>
      </c>
      <c r="I48" s="3">
        <v>0.08</v>
      </c>
      <c r="O48">
        <v>0</v>
      </c>
      <c r="U48" s="3">
        <v>0</v>
      </c>
    </row>
    <row r="49" spans="1:22" x14ac:dyDescent="0.3">
      <c r="A49" t="s">
        <v>68</v>
      </c>
      <c r="B49" t="s">
        <v>24</v>
      </c>
      <c r="C49" t="s">
        <v>1</v>
      </c>
      <c r="I49" s="3">
        <v>0</v>
      </c>
      <c r="J49" t="s">
        <v>106</v>
      </c>
      <c r="O49">
        <v>2.1999999999999999E-2</v>
      </c>
      <c r="U49" s="3">
        <v>0</v>
      </c>
    </row>
    <row r="50" spans="1:22" x14ac:dyDescent="0.3">
      <c r="A50" t="s">
        <v>68</v>
      </c>
      <c r="B50" t="s">
        <v>24</v>
      </c>
      <c r="C50" t="s">
        <v>2</v>
      </c>
      <c r="I50" s="3">
        <v>0</v>
      </c>
      <c r="O50">
        <v>0</v>
      </c>
      <c r="P50" t="s">
        <v>23</v>
      </c>
      <c r="U50" s="3">
        <v>2.5</v>
      </c>
    </row>
    <row r="51" spans="1:22" x14ac:dyDescent="0.3">
      <c r="A51" t="s">
        <v>68</v>
      </c>
      <c r="B51" t="s">
        <v>24</v>
      </c>
      <c r="C51" t="s">
        <v>3</v>
      </c>
      <c r="I51" s="3">
        <v>0</v>
      </c>
      <c r="O51">
        <v>0</v>
      </c>
      <c r="U51" s="3">
        <v>0</v>
      </c>
      <c r="V51">
        <v>0.3</v>
      </c>
    </row>
    <row r="52" spans="1:22" x14ac:dyDescent="0.3">
      <c r="A52" t="s">
        <v>110</v>
      </c>
      <c r="B52" t="s">
        <v>30</v>
      </c>
      <c r="C52" t="s">
        <v>0</v>
      </c>
      <c r="D52" t="s">
        <v>100</v>
      </c>
      <c r="I52" s="3">
        <v>0.24</v>
      </c>
      <c r="O52">
        <v>0</v>
      </c>
      <c r="U52" s="3">
        <v>0</v>
      </c>
    </row>
    <row r="53" spans="1:22" x14ac:dyDescent="0.3">
      <c r="A53" t="s">
        <v>110</v>
      </c>
      <c r="B53" t="s">
        <v>30</v>
      </c>
      <c r="C53" t="s">
        <v>0</v>
      </c>
      <c r="D53" t="s">
        <v>104</v>
      </c>
      <c r="I53" s="3">
        <v>0.13</v>
      </c>
      <c r="O53">
        <v>0</v>
      </c>
      <c r="U53" s="3">
        <v>0</v>
      </c>
    </row>
    <row r="54" spans="1:22" x14ac:dyDescent="0.3">
      <c r="A54" t="s">
        <v>110</v>
      </c>
      <c r="B54" t="s">
        <v>30</v>
      </c>
      <c r="C54" t="s">
        <v>0</v>
      </c>
      <c r="D54" t="s">
        <v>71</v>
      </c>
      <c r="I54" s="3">
        <v>0.188</v>
      </c>
      <c r="O54">
        <v>0</v>
      </c>
      <c r="U54" s="3">
        <v>0</v>
      </c>
    </row>
    <row r="55" spans="1:22" x14ac:dyDescent="0.3">
      <c r="A55" t="s">
        <v>110</v>
      </c>
      <c r="B55" t="s">
        <v>30</v>
      </c>
      <c r="C55" t="s">
        <v>0</v>
      </c>
      <c r="D55" t="s">
        <v>92</v>
      </c>
      <c r="I55" s="3">
        <v>0.13500000000000001</v>
      </c>
      <c r="O55">
        <v>0</v>
      </c>
      <c r="U55" s="3">
        <v>0</v>
      </c>
    </row>
    <row r="56" spans="1:22" x14ac:dyDescent="0.3">
      <c r="A56" t="s">
        <v>110</v>
      </c>
      <c r="B56" t="s">
        <v>30</v>
      </c>
      <c r="C56" t="s">
        <v>0</v>
      </c>
      <c r="D56" t="s">
        <v>94</v>
      </c>
      <c r="I56" s="3">
        <v>0.06</v>
      </c>
      <c r="O56">
        <v>0</v>
      </c>
      <c r="U56" s="3">
        <v>0</v>
      </c>
    </row>
    <row r="57" spans="1:22" x14ac:dyDescent="0.3">
      <c r="A57" t="s">
        <v>110</v>
      </c>
      <c r="B57" t="s">
        <v>30</v>
      </c>
      <c r="C57" t="s">
        <v>0</v>
      </c>
      <c r="D57" t="s">
        <v>101</v>
      </c>
      <c r="I57" s="3">
        <v>1.2999999999999999E-2</v>
      </c>
      <c r="O57">
        <v>0</v>
      </c>
      <c r="U57" s="3">
        <v>0</v>
      </c>
    </row>
    <row r="58" spans="1:22" x14ac:dyDescent="0.3">
      <c r="A58" t="s">
        <v>110</v>
      </c>
      <c r="B58" t="s">
        <v>30</v>
      </c>
      <c r="C58" t="s">
        <v>1</v>
      </c>
      <c r="I58" s="3">
        <v>0</v>
      </c>
      <c r="J58" t="s">
        <v>70</v>
      </c>
      <c r="O58">
        <v>0.25</v>
      </c>
      <c r="U58" s="3">
        <v>0</v>
      </c>
    </row>
    <row r="59" spans="1:22" x14ac:dyDescent="0.3">
      <c r="A59" t="s">
        <v>110</v>
      </c>
      <c r="B59" t="s">
        <v>30</v>
      </c>
      <c r="C59" t="s">
        <v>1</v>
      </c>
      <c r="I59" s="3">
        <v>0</v>
      </c>
      <c r="J59" t="s">
        <v>22</v>
      </c>
      <c r="O59">
        <v>8.8999999999999996E-2</v>
      </c>
      <c r="U59" s="3">
        <v>0</v>
      </c>
    </row>
    <row r="60" spans="1:22" x14ac:dyDescent="0.3">
      <c r="A60" t="s">
        <v>110</v>
      </c>
      <c r="B60" t="s">
        <v>30</v>
      </c>
      <c r="C60" t="s">
        <v>1</v>
      </c>
      <c r="I60" s="3">
        <v>0</v>
      </c>
      <c r="J60" t="s">
        <v>26</v>
      </c>
      <c r="O60">
        <v>1.7000000000000001E-2</v>
      </c>
      <c r="U60" s="3">
        <v>0</v>
      </c>
    </row>
    <row r="61" spans="1:22" x14ac:dyDescent="0.3">
      <c r="A61" t="s">
        <v>110</v>
      </c>
      <c r="B61" t="s">
        <v>30</v>
      </c>
      <c r="C61" t="s">
        <v>1</v>
      </c>
      <c r="I61" s="3">
        <v>0</v>
      </c>
      <c r="J61" t="s">
        <v>106</v>
      </c>
      <c r="O61">
        <v>5.0000000000000001E-3</v>
      </c>
      <c r="U61" s="3">
        <v>0</v>
      </c>
    </row>
    <row r="62" spans="1:22" x14ac:dyDescent="0.3">
      <c r="A62" t="s">
        <v>110</v>
      </c>
      <c r="B62" t="s">
        <v>30</v>
      </c>
      <c r="C62" t="s">
        <v>2</v>
      </c>
      <c r="I62" s="3">
        <v>0</v>
      </c>
      <c r="O62">
        <v>0</v>
      </c>
      <c r="P62" t="s">
        <v>23</v>
      </c>
      <c r="U62" s="3">
        <v>0.40500000000000003</v>
      </c>
    </row>
    <row r="63" spans="1:22" x14ac:dyDescent="0.3">
      <c r="A63" t="s">
        <v>110</v>
      </c>
      <c r="B63" t="s">
        <v>30</v>
      </c>
      <c r="C63" t="s">
        <v>2</v>
      </c>
      <c r="I63" s="3">
        <v>0</v>
      </c>
      <c r="O63">
        <v>0</v>
      </c>
      <c r="P63" t="s">
        <v>107</v>
      </c>
      <c r="U63" s="3">
        <v>9.7000000000000003E-2</v>
      </c>
    </row>
    <row r="64" spans="1:22" x14ac:dyDescent="0.3">
      <c r="A64" t="s">
        <v>110</v>
      </c>
      <c r="B64" t="s">
        <v>30</v>
      </c>
      <c r="C64" t="s">
        <v>3</v>
      </c>
      <c r="I64" s="3">
        <v>0</v>
      </c>
      <c r="O64">
        <v>0</v>
      </c>
      <c r="U64" s="3">
        <v>0</v>
      </c>
      <c r="V64">
        <v>0.5</v>
      </c>
    </row>
    <row r="65" spans="1:22" x14ac:dyDescent="0.3">
      <c r="A65" t="s">
        <v>111</v>
      </c>
      <c r="B65" t="s">
        <v>30</v>
      </c>
      <c r="C65" t="s">
        <v>0</v>
      </c>
      <c r="D65" t="s">
        <v>74</v>
      </c>
      <c r="I65" s="3">
        <v>0.21199999999999999</v>
      </c>
      <c r="O65">
        <v>0</v>
      </c>
      <c r="U65" s="3">
        <v>0</v>
      </c>
    </row>
    <row r="66" spans="1:22" x14ac:dyDescent="0.3">
      <c r="A66" t="s">
        <v>111</v>
      </c>
      <c r="B66" t="s">
        <v>30</v>
      </c>
      <c r="C66" t="s">
        <v>0</v>
      </c>
      <c r="D66" t="s">
        <v>92</v>
      </c>
      <c r="I66" s="3">
        <v>0.26900000000000002</v>
      </c>
      <c r="O66">
        <v>0</v>
      </c>
      <c r="U66" s="3">
        <v>0</v>
      </c>
    </row>
    <row r="67" spans="1:22" x14ac:dyDescent="0.3">
      <c r="A67" t="s">
        <v>111</v>
      </c>
      <c r="B67" t="s">
        <v>30</v>
      </c>
      <c r="C67" t="s">
        <v>0</v>
      </c>
      <c r="D67" t="s">
        <v>96</v>
      </c>
      <c r="I67" s="3">
        <v>4.1000000000000002E-2</v>
      </c>
      <c r="O67">
        <v>0</v>
      </c>
      <c r="U67" s="3">
        <v>0</v>
      </c>
    </row>
    <row r="68" spans="1:22" x14ac:dyDescent="0.3">
      <c r="A68" t="s">
        <v>111</v>
      </c>
      <c r="B68" t="s">
        <v>30</v>
      </c>
      <c r="C68" t="s">
        <v>0</v>
      </c>
      <c r="D68" t="s">
        <v>101</v>
      </c>
      <c r="I68" s="3">
        <v>1.3</v>
      </c>
      <c r="O68">
        <v>0</v>
      </c>
      <c r="U68" s="3">
        <v>0</v>
      </c>
    </row>
    <row r="69" spans="1:22" x14ac:dyDescent="0.3">
      <c r="A69" t="s">
        <v>111</v>
      </c>
      <c r="B69" t="s">
        <v>30</v>
      </c>
      <c r="C69" t="s">
        <v>0</v>
      </c>
      <c r="D69" t="s">
        <v>94</v>
      </c>
      <c r="I69" s="3">
        <v>0.06</v>
      </c>
      <c r="O69">
        <v>0</v>
      </c>
      <c r="U69" s="3">
        <v>0</v>
      </c>
    </row>
    <row r="70" spans="1:22" x14ac:dyDescent="0.3">
      <c r="A70" t="s">
        <v>111</v>
      </c>
      <c r="B70" t="s">
        <v>30</v>
      </c>
      <c r="C70" t="s">
        <v>1</v>
      </c>
      <c r="I70" s="3">
        <v>0</v>
      </c>
      <c r="J70" t="s">
        <v>70</v>
      </c>
      <c r="O70">
        <v>0.25</v>
      </c>
      <c r="U70" s="3">
        <v>0</v>
      </c>
    </row>
    <row r="71" spans="1:22" x14ac:dyDescent="0.3">
      <c r="A71" t="s">
        <v>111</v>
      </c>
      <c r="B71" t="s">
        <v>30</v>
      </c>
      <c r="C71" t="s">
        <v>1</v>
      </c>
      <c r="I71" s="3">
        <v>0</v>
      </c>
      <c r="J71" t="s">
        <v>22</v>
      </c>
      <c r="O71">
        <v>8.8999999999999996E-2</v>
      </c>
      <c r="U71" s="3">
        <v>0</v>
      </c>
    </row>
    <row r="72" spans="1:22" x14ac:dyDescent="0.3">
      <c r="A72" t="s">
        <v>111</v>
      </c>
      <c r="B72" t="s">
        <v>30</v>
      </c>
      <c r="C72" t="s">
        <v>1</v>
      </c>
      <c r="I72" s="3">
        <v>0</v>
      </c>
      <c r="J72" t="s">
        <v>26</v>
      </c>
      <c r="O72">
        <v>1.7000000000000001E-2</v>
      </c>
      <c r="U72" s="3">
        <v>0</v>
      </c>
    </row>
    <row r="73" spans="1:22" x14ac:dyDescent="0.3">
      <c r="A73" t="s">
        <v>111</v>
      </c>
      <c r="B73" t="s">
        <v>30</v>
      </c>
      <c r="C73" t="s">
        <v>1</v>
      </c>
      <c r="I73" s="3">
        <v>0</v>
      </c>
      <c r="J73" t="s">
        <v>106</v>
      </c>
      <c r="O73">
        <v>5.0000000000000001E-3</v>
      </c>
      <c r="U73" s="3">
        <v>0</v>
      </c>
    </row>
    <row r="74" spans="1:22" x14ac:dyDescent="0.3">
      <c r="A74" t="s">
        <v>111</v>
      </c>
      <c r="B74" t="s">
        <v>30</v>
      </c>
      <c r="C74" t="s">
        <v>2</v>
      </c>
      <c r="I74" s="3">
        <v>0</v>
      </c>
      <c r="O74">
        <v>0</v>
      </c>
      <c r="P74" t="s">
        <v>23</v>
      </c>
      <c r="U74" s="3">
        <v>0.40500000000000003</v>
      </c>
    </row>
    <row r="75" spans="1:22" x14ac:dyDescent="0.3">
      <c r="A75" t="s">
        <v>111</v>
      </c>
      <c r="B75" t="s">
        <v>30</v>
      </c>
      <c r="C75" t="s">
        <v>2</v>
      </c>
      <c r="I75" s="3">
        <v>0</v>
      </c>
      <c r="O75">
        <v>0</v>
      </c>
      <c r="P75" t="s">
        <v>107</v>
      </c>
      <c r="U75" s="3">
        <v>9.7000000000000003E-2</v>
      </c>
    </row>
    <row r="76" spans="1:22" x14ac:dyDescent="0.3">
      <c r="A76" t="s">
        <v>111</v>
      </c>
      <c r="B76" t="s">
        <v>30</v>
      </c>
      <c r="C76" t="s">
        <v>3</v>
      </c>
      <c r="I76" s="3">
        <v>0</v>
      </c>
      <c r="O76">
        <v>0</v>
      </c>
      <c r="U76" s="3">
        <v>0</v>
      </c>
      <c r="V76">
        <v>0.4</v>
      </c>
    </row>
    <row r="77" spans="1:22" x14ac:dyDescent="0.3">
      <c r="A77" t="s">
        <v>129</v>
      </c>
      <c r="B77" t="s">
        <v>27</v>
      </c>
      <c r="C77" t="s">
        <v>0</v>
      </c>
      <c r="D77" t="s">
        <v>21</v>
      </c>
      <c r="I77" s="3">
        <v>0.5</v>
      </c>
      <c r="O77">
        <v>0</v>
      </c>
      <c r="U77" s="3">
        <v>0</v>
      </c>
    </row>
    <row r="78" spans="1:22" x14ac:dyDescent="0.3">
      <c r="A78" t="s">
        <v>129</v>
      </c>
      <c r="B78" t="s">
        <v>27</v>
      </c>
      <c r="C78" t="s">
        <v>0</v>
      </c>
      <c r="D78" t="s">
        <v>85</v>
      </c>
      <c r="I78" s="3">
        <v>0.245</v>
      </c>
      <c r="O78">
        <v>0</v>
      </c>
      <c r="U78" s="3">
        <v>0</v>
      </c>
    </row>
    <row r="79" spans="1:22" x14ac:dyDescent="0.3">
      <c r="A79" t="s">
        <v>129</v>
      </c>
      <c r="B79" t="s">
        <v>27</v>
      </c>
      <c r="C79" t="s">
        <v>0</v>
      </c>
      <c r="D79" t="s">
        <v>83</v>
      </c>
      <c r="I79" s="3">
        <v>7.6999999999999999E-2</v>
      </c>
      <c r="O79">
        <v>0</v>
      </c>
      <c r="U79" s="3">
        <v>0</v>
      </c>
    </row>
    <row r="80" spans="1:22" x14ac:dyDescent="0.3">
      <c r="A80" t="s">
        <v>129</v>
      </c>
      <c r="B80" t="s">
        <v>27</v>
      </c>
      <c r="C80" t="s">
        <v>0</v>
      </c>
      <c r="D80" t="s">
        <v>86</v>
      </c>
      <c r="I80" s="3">
        <v>3.3000000000000002E-2</v>
      </c>
      <c r="O80">
        <v>0</v>
      </c>
      <c r="U80" s="3">
        <v>0</v>
      </c>
    </row>
    <row r="81" spans="1:22" x14ac:dyDescent="0.3">
      <c r="A81" t="s">
        <v>129</v>
      </c>
      <c r="B81" t="s">
        <v>27</v>
      </c>
      <c r="C81" t="s">
        <v>0</v>
      </c>
      <c r="D81" t="s">
        <v>84</v>
      </c>
      <c r="I81" s="3">
        <v>0.84</v>
      </c>
      <c r="O81">
        <v>0</v>
      </c>
      <c r="U81" s="3">
        <v>0</v>
      </c>
    </row>
    <row r="82" spans="1:22" x14ac:dyDescent="0.3">
      <c r="A82" t="s">
        <v>129</v>
      </c>
      <c r="B82" t="s">
        <v>27</v>
      </c>
      <c r="C82" t="s">
        <v>0</v>
      </c>
      <c r="D82" t="s">
        <v>93</v>
      </c>
      <c r="I82" s="3">
        <v>5.3999999999999999E-2</v>
      </c>
      <c r="O82">
        <v>0</v>
      </c>
      <c r="U82" s="3">
        <v>0</v>
      </c>
    </row>
    <row r="83" spans="1:22" x14ac:dyDescent="0.3">
      <c r="A83" t="s">
        <v>129</v>
      </c>
      <c r="B83" t="s">
        <v>27</v>
      </c>
      <c r="C83" t="s">
        <v>0</v>
      </c>
      <c r="D83" t="s">
        <v>94</v>
      </c>
      <c r="I83" s="3">
        <v>0.06</v>
      </c>
      <c r="O83">
        <v>0</v>
      </c>
      <c r="U83" s="3">
        <v>0</v>
      </c>
    </row>
    <row r="84" spans="1:22" x14ac:dyDescent="0.3">
      <c r="A84" t="s">
        <v>129</v>
      </c>
      <c r="B84" t="s">
        <v>27</v>
      </c>
      <c r="C84" t="s">
        <v>0</v>
      </c>
      <c r="D84" t="s">
        <v>101</v>
      </c>
      <c r="I84" s="3">
        <v>1.2999999999999999E-2</v>
      </c>
      <c r="O84">
        <v>0</v>
      </c>
      <c r="U84" s="3">
        <v>0</v>
      </c>
    </row>
    <row r="85" spans="1:22" x14ac:dyDescent="0.3">
      <c r="A85" t="s">
        <v>129</v>
      </c>
      <c r="B85" t="s">
        <v>27</v>
      </c>
      <c r="C85" t="s">
        <v>0</v>
      </c>
      <c r="D85" t="s">
        <v>102</v>
      </c>
      <c r="I85" s="3">
        <v>1</v>
      </c>
      <c r="O85">
        <v>0</v>
      </c>
      <c r="U85" s="3">
        <v>0</v>
      </c>
    </row>
    <row r="86" spans="1:22" x14ac:dyDescent="0.3">
      <c r="A86" t="s">
        <v>129</v>
      </c>
      <c r="B86" t="s">
        <v>27</v>
      </c>
      <c r="C86" t="s">
        <v>1</v>
      </c>
      <c r="I86" s="3">
        <v>0</v>
      </c>
      <c r="J86" t="s">
        <v>70</v>
      </c>
      <c r="O86">
        <v>0.25</v>
      </c>
      <c r="U86" s="3">
        <v>0</v>
      </c>
    </row>
    <row r="87" spans="1:22" x14ac:dyDescent="0.3">
      <c r="A87" t="s">
        <v>129</v>
      </c>
      <c r="B87" t="s">
        <v>27</v>
      </c>
      <c r="C87" t="s">
        <v>1</v>
      </c>
      <c r="I87" s="3">
        <v>0</v>
      </c>
      <c r="J87" t="s">
        <v>22</v>
      </c>
      <c r="O87">
        <v>8.8999999999999996E-2</v>
      </c>
      <c r="U87" s="3">
        <v>0</v>
      </c>
    </row>
    <row r="88" spans="1:22" x14ac:dyDescent="0.3">
      <c r="A88" t="s">
        <v>129</v>
      </c>
      <c r="B88" t="s">
        <v>27</v>
      </c>
      <c r="C88" t="s">
        <v>1</v>
      </c>
      <c r="I88" s="3">
        <v>0</v>
      </c>
      <c r="J88" t="s">
        <v>26</v>
      </c>
      <c r="O88">
        <v>1.7000000000000001E-2</v>
      </c>
      <c r="U88" s="3">
        <v>0</v>
      </c>
    </row>
    <row r="89" spans="1:22" x14ac:dyDescent="0.3">
      <c r="A89" t="s">
        <v>129</v>
      </c>
      <c r="B89" t="s">
        <v>27</v>
      </c>
      <c r="C89" t="s">
        <v>1</v>
      </c>
      <c r="I89" s="3">
        <v>0</v>
      </c>
      <c r="J89" t="s">
        <v>106</v>
      </c>
      <c r="O89">
        <v>5.0000000000000001E-3</v>
      </c>
      <c r="U89" s="3">
        <v>0</v>
      </c>
    </row>
    <row r="90" spans="1:22" x14ac:dyDescent="0.3">
      <c r="A90" t="s">
        <v>129</v>
      </c>
      <c r="B90" t="s">
        <v>27</v>
      </c>
      <c r="C90" t="s">
        <v>2</v>
      </c>
      <c r="I90" s="3">
        <v>0</v>
      </c>
      <c r="O90">
        <v>0</v>
      </c>
      <c r="P90" t="s">
        <v>23</v>
      </c>
      <c r="U90" s="3">
        <v>0.40500000000000003</v>
      </c>
    </row>
    <row r="91" spans="1:22" x14ac:dyDescent="0.3">
      <c r="A91" t="s">
        <v>129</v>
      </c>
      <c r="B91" t="s">
        <v>27</v>
      </c>
      <c r="C91" t="s">
        <v>2</v>
      </c>
      <c r="I91" s="3">
        <v>0</v>
      </c>
      <c r="O91">
        <v>0</v>
      </c>
      <c r="P91" t="s">
        <v>107</v>
      </c>
      <c r="U91" s="3">
        <v>9.7000000000000003E-2</v>
      </c>
    </row>
    <row r="92" spans="1:22" x14ac:dyDescent="0.3">
      <c r="A92" t="s">
        <v>129</v>
      </c>
      <c r="B92" t="s">
        <v>27</v>
      </c>
      <c r="C92" t="s">
        <v>3</v>
      </c>
      <c r="I92" s="3">
        <v>0</v>
      </c>
      <c r="O92">
        <v>0</v>
      </c>
      <c r="U92" s="3">
        <v>0</v>
      </c>
      <c r="V92">
        <v>0.3</v>
      </c>
    </row>
    <row r="93" spans="1:22" x14ac:dyDescent="0.3">
      <c r="A93" t="s">
        <v>112</v>
      </c>
      <c r="B93" t="s">
        <v>30</v>
      </c>
      <c r="C93" t="s">
        <v>0</v>
      </c>
      <c r="D93" t="s">
        <v>71</v>
      </c>
      <c r="I93" s="3">
        <v>0.188</v>
      </c>
      <c r="O93">
        <v>0</v>
      </c>
      <c r="U93" s="3">
        <v>0</v>
      </c>
    </row>
    <row r="94" spans="1:22" x14ac:dyDescent="0.3">
      <c r="A94" t="s">
        <v>112</v>
      </c>
      <c r="B94" t="s">
        <v>30</v>
      </c>
      <c r="C94" t="s">
        <v>0</v>
      </c>
      <c r="D94" t="s">
        <v>92</v>
      </c>
      <c r="I94" s="3">
        <v>0.53800000000000003</v>
      </c>
      <c r="O94">
        <v>0</v>
      </c>
      <c r="U94" s="3">
        <v>0</v>
      </c>
    </row>
    <row r="95" spans="1:22" x14ac:dyDescent="0.3">
      <c r="A95" t="s">
        <v>112</v>
      </c>
      <c r="B95" t="s">
        <v>30</v>
      </c>
      <c r="C95" t="s">
        <v>0</v>
      </c>
      <c r="D95" t="s">
        <v>104</v>
      </c>
      <c r="I95" s="3">
        <v>8.3000000000000004E-2</v>
      </c>
      <c r="O95">
        <v>0</v>
      </c>
      <c r="U95" s="3">
        <v>0</v>
      </c>
    </row>
    <row r="96" spans="1:22" x14ac:dyDescent="0.3">
      <c r="A96" t="s">
        <v>112</v>
      </c>
      <c r="B96" t="s">
        <v>30</v>
      </c>
      <c r="C96" t="s">
        <v>0</v>
      </c>
      <c r="D96" t="s">
        <v>29</v>
      </c>
      <c r="I96" s="3">
        <v>0.06</v>
      </c>
      <c r="O96">
        <v>0</v>
      </c>
      <c r="U96" s="3">
        <v>0</v>
      </c>
    </row>
    <row r="97" spans="1:22" x14ac:dyDescent="0.3">
      <c r="A97" t="s">
        <v>112</v>
      </c>
      <c r="B97" t="s">
        <v>30</v>
      </c>
      <c r="C97" t="s">
        <v>0</v>
      </c>
      <c r="D97" t="s">
        <v>94</v>
      </c>
      <c r="I97" s="3">
        <v>0.06</v>
      </c>
      <c r="O97">
        <v>0</v>
      </c>
      <c r="U97" s="3">
        <v>0</v>
      </c>
    </row>
    <row r="98" spans="1:22" x14ac:dyDescent="0.3">
      <c r="A98" t="s">
        <v>112</v>
      </c>
      <c r="B98" t="s">
        <v>30</v>
      </c>
      <c r="C98" t="s">
        <v>0</v>
      </c>
      <c r="D98" t="s">
        <v>101</v>
      </c>
      <c r="I98" s="3">
        <v>1.2999999999999999E-2</v>
      </c>
      <c r="O98">
        <v>0</v>
      </c>
      <c r="U98" s="3">
        <v>0</v>
      </c>
    </row>
    <row r="99" spans="1:22" x14ac:dyDescent="0.3">
      <c r="A99" t="s">
        <v>112</v>
      </c>
      <c r="B99" t="s">
        <v>30</v>
      </c>
      <c r="C99" t="s">
        <v>1</v>
      </c>
      <c r="I99" s="3">
        <v>0</v>
      </c>
      <c r="J99" t="s">
        <v>70</v>
      </c>
      <c r="O99">
        <v>0.25</v>
      </c>
      <c r="U99" s="3">
        <v>0</v>
      </c>
    </row>
    <row r="100" spans="1:22" x14ac:dyDescent="0.3">
      <c r="A100" t="s">
        <v>112</v>
      </c>
      <c r="B100" t="s">
        <v>30</v>
      </c>
      <c r="C100" t="s">
        <v>1</v>
      </c>
      <c r="I100" s="3">
        <v>0</v>
      </c>
      <c r="J100" t="s">
        <v>22</v>
      </c>
      <c r="O100">
        <v>8.8999999999999996E-2</v>
      </c>
      <c r="U100" s="3">
        <v>0</v>
      </c>
    </row>
    <row r="101" spans="1:22" x14ac:dyDescent="0.3">
      <c r="A101" t="s">
        <v>112</v>
      </c>
      <c r="B101" t="s">
        <v>30</v>
      </c>
      <c r="C101" t="s">
        <v>1</v>
      </c>
      <c r="I101" s="3">
        <v>0</v>
      </c>
      <c r="J101" t="s">
        <v>26</v>
      </c>
      <c r="O101">
        <v>1.7000000000000001E-2</v>
      </c>
      <c r="U101" s="3">
        <v>0</v>
      </c>
    </row>
    <row r="102" spans="1:22" x14ac:dyDescent="0.3">
      <c r="A102" t="s">
        <v>112</v>
      </c>
      <c r="B102" t="s">
        <v>30</v>
      </c>
      <c r="C102" t="s">
        <v>1</v>
      </c>
      <c r="I102" s="3">
        <v>0</v>
      </c>
      <c r="J102" t="s">
        <v>106</v>
      </c>
      <c r="O102">
        <v>5.0000000000000001E-3</v>
      </c>
      <c r="U102" s="3">
        <v>0</v>
      </c>
    </row>
    <row r="103" spans="1:22" x14ac:dyDescent="0.3">
      <c r="A103" t="s">
        <v>112</v>
      </c>
      <c r="B103" t="s">
        <v>30</v>
      </c>
      <c r="C103" t="s">
        <v>2</v>
      </c>
      <c r="I103" s="3">
        <v>0</v>
      </c>
      <c r="O103">
        <v>0</v>
      </c>
      <c r="P103" t="s">
        <v>23</v>
      </c>
      <c r="U103" s="3">
        <v>0.52100000000000002</v>
      </c>
    </row>
    <row r="104" spans="1:22" x14ac:dyDescent="0.3">
      <c r="A104" t="s">
        <v>112</v>
      </c>
      <c r="B104" t="s">
        <v>30</v>
      </c>
      <c r="C104" t="s">
        <v>2</v>
      </c>
      <c r="I104" s="3">
        <v>0</v>
      </c>
      <c r="O104">
        <v>0</v>
      </c>
      <c r="P104" t="s">
        <v>107</v>
      </c>
      <c r="U104" s="3">
        <v>0.125</v>
      </c>
    </row>
    <row r="105" spans="1:22" x14ac:dyDescent="0.3">
      <c r="A105" t="s">
        <v>112</v>
      </c>
      <c r="B105" t="s">
        <v>30</v>
      </c>
      <c r="C105" t="s">
        <v>3</v>
      </c>
      <c r="I105" s="3">
        <v>0</v>
      </c>
      <c r="O105">
        <v>0</v>
      </c>
      <c r="U105" s="3">
        <v>0</v>
      </c>
      <c r="V105">
        <v>0.5</v>
      </c>
    </row>
    <row r="106" spans="1:22" x14ac:dyDescent="0.3">
      <c r="A106" t="s">
        <v>123</v>
      </c>
      <c r="B106" t="s">
        <v>114</v>
      </c>
      <c r="C106" t="s">
        <v>0</v>
      </c>
      <c r="D106" t="s">
        <v>115</v>
      </c>
      <c r="I106" s="3"/>
      <c r="O106">
        <v>0</v>
      </c>
      <c r="U106" s="3">
        <v>0</v>
      </c>
    </row>
    <row r="107" spans="1:22" x14ac:dyDescent="0.3">
      <c r="A107" t="s">
        <v>123</v>
      </c>
      <c r="B107" t="s">
        <v>114</v>
      </c>
      <c r="C107" t="s">
        <v>0</v>
      </c>
      <c r="D107" t="s">
        <v>116</v>
      </c>
      <c r="I107" s="3"/>
      <c r="O107">
        <v>0</v>
      </c>
      <c r="U107" s="3">
        <v>0</v>
      </c>
    </row>
    <row r="108" spans="1:22" x14ac:dyDescent="0.3">
      <c r="A108" t="s">
        <v>123</v>
      </c>
      <c r="B108" t="s">
        <v>114</v>
      </c>
      <c r="C108" t="s">
        <v>0</v>
      </c>
      <c r="D108" t="s">
        <v>117</v>
      </c>
      <c r="I108" s="3"/>
      <c r="O108">
        <v>0</v>
      </c>
      <c r="U108" s="3">
        <v>0</v>
      </c>
    </row>
    <row r="109" spans="1:22" x14ac:dyDescent="0.3">
      <c r="A109" t="s">
        <v>123</v>
      </c>
      <c r="B109" t="s">
        <v>114</v>
      </c>
      <c r="C109" t="s">
        <v>0</v>
      </c>
      <c r="D109" t="s">
        <v>118</v>
      </c>
      <c r="I109" s="3"/>
      <c r="O109">
        <v>0</v>
      </c>
      <c r="U109" s="3">
        <v>0</v>
      </c>
    </row>
    <row r="110" spans="1:22" x14ac:dyDescent="0.3">
      <c r="A110" t="s">
        <v>123</v>
      </c>
      <c r="B110" t="s">
        <v>114</v>
      </c>
      <c r="C110" t="s">
        <v>0</v>
      </c>
      <c r="D110" t="s">
        <v>121</v>
      </c>
      <c r="I110" s="3"/>
      <c r="O110">
        <v>0</v>
      </c>
      <c r="U110" s="3">
        <v>0</v>
      </c>
    </row>
    <row r="111" spans="1:22" x14ac:dyDescent="0.3">
      <c r="A111" t="s">
        <v>123</v>
      </c>
      <c r="B111" t="s">
        <v>114</v>
      </c>
      <c r="C111" t="s">
        <v>1</v>
      </c>
      <c r="I111" s="3">
        <v>0</v>
      </c>
      <c r="J111" t="s">
        <v>120</v>
      </c>
      <c r="U111" s="3">
        <v>0</v>
      </c>
    </row>
    <row r="112" spans="1:22" x14ac:dyDescent="0.3">
      <c r="A112" t="s">
        <v>123</v>
      </c>
      <c r="B112" t="s">
        <v>114</v>
      </c>
      <c r="C112" t="s">
        <v>2</v>
      </c>
      <c r="I112" s="3">
        <v>0</v>
      </c>
      <c r="O112">
        <v>0</v>
      </c>
      <c r="P112" t="s">
        <v>122</v>
      </c>
      <c r="U112" s="3"/>
    </row>
    <row r="113" spans="1:22" x14ac:dyDescent="0.3">
      <c r="A113" t="s">
        <v>123</v>
      </c>
      <c r="B113" t="s">
        <v>114</v>
      </c>
      <c r="C113" t="s">
        <v>3</v>
      </c>
      <c r="I113" s="3">
        <v>0</v>
      </c>
      <c r="O113">
        <v>0</v>
      </c>
      <c r="U113" s="3">
        <v>0</v>
      </c>
      <c r="V113">
        <v>0.35</v>
      </c>
    </row>
    <row r="114" spans="1:22" x14ac:dyDescent="0.3">
      <c r="A114" t="s">
        <v>156</v>
      </c>
      <c r="B114" t="s">
        <v>114</v>
      </c>
      <c r="C114" t="s">
        <v>0</v>
      </c>
      <c r="D114" t="s">
        <v>116</v>
      </c>
      <c r="I114" s="3">
        <v>1.4</v>
      </c>
      <c r="U114" s="3"/>
    </row>
    <row r="115" spans="1:22" x14ac:dyDescent="0.3">
      <c r="A115" t="s">
        <v>156</v>
      </c>
      <c r="B115" t="s">
        <v>114</v>
      </c>
      <c r="C115" t="s">
        <v>0</v>
      </c>
      <c r="D115" t="s">
        <v>115</v>
      </c>
      <c r="I115" s="3">
        <v>4.25</v>
      </c>
      <c r="U115" s="3"/>
    </row>
    <row r="116" spans="1:22" x14ac:dyDescent="0.3">
      <c r="A116" t="s">
        <v>156</v>
      </c>
      <c r="B116" t="s">
        <v>114</v>
      </c>
      <c r="C116" t="s">
        <v>1</v>
      </c>
      <c r="I116" s="3"/>
      <c r="J116" t="s">
        <v>124</v>
      </c>
      <c r="O116">
        <v>4.2000000000000003E-2</v>
      </c>
      <c r="U116" s="3"/>
    </row>
    <row r="117" spans="1:22" x14ac:dyDescent="0.3">
      <c r="A117" t="s">
        <v>156</v>
      </c>
      <c r="B117" t="s">
        <v>114</v>
      </c>
      <c r="C117" t="s">
        <v>2</v>
      </c>
      <c r="I117" s="3"/>
      <c r="P117" t="s">
        <v>122</v>
      </c>
      <c r="U117" s="3">
        <v>2.25</v>
      </c>
    </row>
    <row r="118" spans="1:22" x14ac:dyDescent="0.3">
      <c r="A118" t="s">
        <v>156</v>
      </c>
      <c r="B118" t="s">
        <v>114</v>
      </c>
      <c r="C118" t="s">
        <v>3</v>
      </c>
      <c r="I118" s="3"/>
      <c r="U118" s="3"/>
      <c r="V118">
        <v>0.4</v>
      </c>
    </row>
    <row r="119" spans="1:22" x14ac:dyDescent="0.3">
      <c r="A119" t="s">
        <v>20</v>
      </c>
      <c r="B119" t="s">
        <v>27</v>
      </c>
      <c r="C119" t="s">
        <v>0</v>
      </c>
      <c r="D119" t="s">
        <v>21</v>
      </c>
      <c r="I119" s="3">
        <v>1.25</v>
      </c>
      <c r="U119" s="3"/>
    </row>
    <row r="120" spans="1:22" x14ac:dyDescent="0.3">
      <c r="A120" t="s">
        <v>20</v>
      </c>
      <c r="B120" t="s">
        <v>27</v>
      </c>
      <c r="C120" t="s">
        <v>0</v>
      </c>
      <c r="D120" t="s">
        <v>72</v>
      </c>
      <c r="I120" s="3">
        <v>2.8000000000000001E-2</v>
      </c>
      <c r="U120" s="3"/>
    </row>
    <row r="121" spans="1:22" x14ac:dyDescent="0.3">
      <c r="A121" t="s">
        <v>20</v>
      </c>
      <c r="B121" t="s">
        <v>27</v>
      </c>
      <c r="C121" t="s">
        <v>1</v>
      </c>
      <c r="I121" s="3"/>
      <c r="J121" t="s">
        <v>26</v>
      </c>
      <c r="O121">
        <v>0.25</v>
      </c>
      <c r="U121" s="3"/>
    </row>
    <row r="122" spans="1:22" x14ac:dyDescent="0.3">
      <c r="A122" t="s">
        <v>20</v>
      </c>
      <c r="B122" t="s">
        <v>27</v>
      </c>
      <c r="C122" t="s">
        <v>1</v>
      </c>
      <c r="I122" s="3"/>
      <c r="J122" t="s">
        <v>22</v>
      </c>
      <c r="O122">
        <v>0.2</v>
      </c>
      <c r="U122" s="3"/>
    </row>
    <row r="123" spans="1:22" x14ac:dyDescent="0.3">
      <c r="A123" t="s">
        <v>20</v>
      </c>
      <c r="B123" t="s">
        <v>27</v>
      </c>
      <c r="C123" t="s">
        <v>2</v>
      </c>
      <c r="I123" s="3"/>
      <c r="P123" t="s">
        <v>23</v>
      </c>
      <c r="U123" s="3">
        <v>0.37</v>
      </c>
    </row>
    <row r="124" spans="1:22" x14ac:dyDescent="0.3">
      <c r="A124" t="s">
        <v>20</v>
      </c>
      <c r="B124" t="s">
        <v>27</v>
      </c>
      <c r="C124" t="s">
        <v>3</v>
      </c>
      <c r="I124" s="3"/>
      <c r="U124" s="3"/>
      <c r="V124">
        <v>0.6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63607-9238-49B3-A2EC-E68DD8F82E81}">
  <sheetPr codeName="wsMateriales"/>
  <dimension ref="A1:G41"/>
  <sheetViews>
    <sheetView workbookViewId="0">
      <selection activeCell="A2" sqref="A2:IV41"/>
    </sheetView>
  </sheetViews>
  <sheetFormatPr baseColWidth="10" defaultColWidth="11.5546875" defaultRowHeight="18.600000000000001" x14ac:dyDescent="0.45"/>
  <cols>
    <col min="1" max="1" width="33.44140625" style="4" bestFit="1" customWidth="1"/>
    <col min="2" max="2" width="30.6640625" style="4" bestFit="1" customWidth="1"/>
    <col min="3" max="3" width="24.88671875" style="4" bestFit="1" customWidth="1"/>
    <col min="4" max="4" width="30" style="4" bestFit="1" customWidth="1"/>
    <col min="5" max="5" width="21.5546875" style="4" bestFit="1" customWidth="1"/>
    <col min="6" max="6" width="24.88671875" style="4" bestFit="1" customWidth="1"/>
    <col min="7" max="7" width="10.6640625" style="4" bestFit="1" customWidth="1"/>
    <col min="8" max="16384" width="11.5546875" style="4"/>
  </cols>
  <sheetData>
    <row r="1" spans="1:7" x14ac:dyDescent="0.45">
      <c r="A1" s="4" t="s">
        <v>5</v>
      </c>
      <c r="B1" s="4" t="s">
        <v>31</v>
      </c>
      <c r="C1" s="4" t="s">
        <v>130</v>
      </c>
      <c r="D1" s="4" t="s">
        <v>131</v>
      </c>
      <c r="E1" s="4" t="s">
        <v>132</v>
      </c>
      <c r="F1" s="4" t="s">
        <v>133</v>
      </c>
      <c r="G1" s="4" t="s">
        <v>13</v>
      </c>
    </row>
    <row r="2" spans="1:7" x14ac:dyDescent="0.45">
      <c r="A2" s="4" t="s">
        <v>71</v>
      </c>
      <c r="B2" s="4" t="s">
        <v>32</v>
      </c>
      <c r="C2" s="4" t="s">
        <v>37</v>
      </c>
      <c r="D2" s="5">
        <v>8.5</v>
      </c>
      <c r="E2" s="4" t="s">
        <v>53</v>
      </c>
      <c r="F2" s="5">
        <v>20</v>
      </c>
      <c r="G2" s="5">
        <v>8</v>
      </c>
    </row>
    <row r="3" spans="1:7" x14ac:dyDescent="0.45">
      <c r="A3" s="4" t="s">
        <v>72</v>
      </c>
      <c r="B3" s="4" t="s">
        <v>32</v>
      </c>
      <c r="C3" s="4" t="s">
        <v>37</v>
      </c>
      <c r="D3" s="5">
        <v>115</v>
      </c>
      <c r="E3" s="4" t="s">
        <v>53</v>
      </c>
      <c r="F3" s="5">
        <v>40</v>
      </c>
      <c r="G3" s="5">
        <v>8</v>
      </c>
    </row>
    <row r="4" spans="1:7" x14ac:dyDescent="0.45">
      <c r="A4" s="4" t="s">
        <v>73</v>
      </c>
      <c r="D4" s="5"/>
      <c r="F4" s="5"/>
      <c r="G4" s="5"/>
    </row>
    <row r="5" spans="1:7" x14ac:dyDescent="0.45">
      <c r="A5" s="4" t="s">
        <v>92</v>
      </c>
      <c r="B5" s="4" t="s">
        <v>32</v>
      </c>
      <c r="C5" s="4" t="s">
        <v>37</v>
      </c>
      <c r="D5" s="5">
        <v>115</v>
      </c>
      <c r="E5" s="4" t="s">
        <v>53</v>
      </c>
      <c r="F5" s="5">
        <v>40</v>
      </c>
      <c r="G5" s="5">
        <v>8</v>
      </c>
    </row>
    <row r="6" spans="1:7" x14ac:dyDescent="0.45">
      <c r="A6" s="4" t="s">
        <v>95</v>
      </c>
      <c r="B6" s="4" t="s">
        <v>32</v>
      </c>
      <c r="C6" s="4" t="s">
        <v>37</v>
      </c>
      <c r="D6" s="5">
        <v>34</v>
      </c>
      <c r="E6" s="4" t="s">
        <v>53</v>
      </c>
      <c r="F6" s="5">
        <v>10</v>
      </c>
      <c r="G6" s="5">
        <v>8</v>
      </c>
    </row>
    <row r="7" spans="1:7" x14ac:dyDescent="0.45">
      <c r="A7" s="4" t="s">
        <v>74</v>
      </c>
      <c r="B7" s="4" t="s">
        <v>32</v>
      </c>
      <c r="C7" s="4" t="s">
        <v>37</v>
      </c>
      <c r="D7" s="5">
        <v>85</v>
      </c>
      <c r="E7" s="4" t="s">
        <v>53</v>
      </c>
      <c r="F7" s="5">
        <v>30</v>
      </c>
      <c r="G7" s="5">
        <v>6</v>
      </c>
    </row>
    <row r="8" spans="1:7" x14ac:dyDescent="0.45">
      <c r="A8" s="4" t="s">
        <v>87</v>
      </c>
      <c r="D8" s="5"/>
      <c r="F8" s="5"/>
      <c r="G8" s="5"/>
    </row>
    <row r="9" spans="1:7" x14ac:dyDescent="0.45">
      <c r="A9" s="4" t="s">
        <v>93</v>
      </c>
      <c r="B9" s="4" t="s">
        <v>16</v>
      </c>
      <c r="C9" s="4" t="s">
        <v>16</v>
      </c>
      <c r="D9" s="5">
        <v>100</v>
      </c>
      <c r="E9" s="4" t="s">
        <v>16</v>
      </c>
      <c r="F9" s="5">
        <v>2</v>
      </c>
      <c r="G9" s="5">
        <v>2.7</v>
      </c>
    </row>
    <row r="10" spans="1:7" x14ac:dyDescent="0.45">
      <c r="A10" s="4" t="s">
        <v>97</v>
      </c>
      <c r="D10" s="5"/>
      <c r="F10" s="5"/>
      <c r="G10" s="5"/>
    </row>
    <row r="11" spans="1:7" x14ac:dyDescent="0.45">
      <c r="A11" s="4" t="s">
        <v>82</v>
      </c>
      <c r="B11" s="4" t="s">
        <v>16</v>
      </c>
      <c r="C11" s="4" t="s">
        <v>16</v>
      </c>
      <c r="D11" s="5">
        <v>100</v>
      </c>
      <c r="E11" s="4" t="s">
        <v>16</v>
      </c>
      <c r="F11" s="5">
        <v>9</v>
      </c>
      <c r="G11" s="5">
        <v>3.6</v>
      </c>
    </row>
    <row r="12" spans="1:7" x14ac:dyDescent="0.45">
      <c r="A12" s="4" t="s">
        <v>101</v>
      </c>
      <c r="B12" s="4" t="s">
        <v>16</v>
      </c>
      <c r="C12" s="4" t="s">
        <v>16</v>
      </c>
      <c r="D12" s="5">
        <v>100</v>
      </c>
      <c r="E12" s="4" t="s">
        <v>16</v>
      </c>
      <c r="F12" s="5">
        <v>1</v>
      </c>
      <c r="G12" s="5">
        <v>13</v>
      </c>
    </row>
    <row r="13" spans="1:7" x14ac:dyDescent="0.45">
      <c r="A13" s="4" t="s">
        <v>21</v>
      </c>
      <c r="B13" s="4" t="s">
        <v>16</v>
      </c>
      <c r="C13" s="4" t="s">
        <v>16</v>
      </c>
      <c r="D13" s="5">
        <v>1</v>
      </c>
      <c r="E13" s="4" t="s">
        <v>16</v>
      </c>
      <c r="F13" s="5">
        <v>1</v>
      </c>
      <c r="G13" s="5">
        <v>0.5</v>
      </c>
    </row>
    <row r="14" spans="1:7" x14ac:dyDescent="0.45">
      <c r="A14" s="4" t="s">
        <v>98</v>
      </c>
      <c r="D14" s="5"/>
      <c r="F14" s="5"/>
      <c r="G14" s="5"/>
    </row>
    <row r="15" spans="1:7" x14ac:dyDescent="0.45">
      <c r="A15" s="4" t="s">
        <v>104</v>
      </c>
      <c r="B15" s="4" t="s">
        <v>16</v>
      </c>
      <c r="C15" s="4" t="s">
        <v>16</v>
      </c>
      <c r="D15" s="5">
        <v>127</v>
      </c>
      <c r="E15" s="4" t="s">
        <v>16</v>
      </c>
      <c r="F15" s="5">
        <v>20</v>
      </c>
      <c r="G15" s="5">
        <v>0.75</v>
      </c>
    </row>
    <row r="16" spans="1:7" x14ac:dyDescent="0.45">
      <c r="A16" s="4" t="s">
        <v>105</v>
      </c>
      <c r="B16" s="4" t="s">
        <v>16</v>
      </c>
      <c r="C16" s="4" t="s">
        <v>16</v>
      </c>
      <c r="D16" s="5">
        <v>127</v>
      </c>
      <c r="E16" s="4" t="s">
        <v>16</v>
      </c>
      <c r="F16" s="5">
        <v>22</v>
      </c>
      <c r="G16" s="5">
        <v>0.6</v>
      </c>
    </row>
    <row r="17" spans="1:7" x14ac:dyDescent="0.45">
      <c r="A17" s="4" t="s">
        <v>81</v>
      </c>
      <c r="B17" s="4" t="s">
        <v>16</v>
      </c>
      <c r="C17" s="4" t="s">
        <v>16</v>
      </c>
      <c r="D17" s="5">
        <v>1</v>
      </c>
      <c r="E17" s="4" t="s">
        <v>16</v>
      </c>
      <c r="F17" s="5">
        <v>1</v>
      </c>
      <c r="G17" s="5">
        <v>1</v>
      </c>
    </row>
    <row r="18" spans="1:7" x14ac:dyDescent="0.45">
      <c r="A18" s="4" t="s">
        <v>67</v>
      </c>
    </row>
    <row r="19" spans="1:7" x14ac:dyDescent="0.45">
      <c r="A19" s="4" t="s">
        <v>102</v>
      </c>
      <c r="B19" s="4" t="s">
        <v>16</v>
      </c>
      <c r="C19" s="4" t="s">
        <v>16</v>
      </c>
      <c r="D19" s="5">
        <v>1</v>
      </c>
      <c r="E19" s="4" t="s">
        <v>16</v>
      </c>
      <c r="F19" s="5">
        <v>1</v>
      </c>
      <c r="G19" s="5">
        <v>1</v>
      </c>
    </row>
    <row r="20" spans="1:7" x14ac:dyDescent="0.45">
      <c r="A20" s="4" t="s">
        <v>77</v>
      </c>
      <c r="B20" s="4" t="s">
        <v>16</v>
      </c>
      <c r="C20" s="4" t="s">
        <v>16</v>
      </c>
      <c r="D20" s="5">
        <v>40</v>
      </c>
      <c r="E20" s="4" t="s">
        <v>16</v>
      </c>
      <c r="F20" s="5">
        <v>1</v>
      </c>
      <c r="G20" s="5">
        <v>10</v>
      </c>
    </row>
    <row r="21" spans="1:7" x14ac:dyDescent="0.45">
      <c r="A21" s="4" t="s">
        <v>99</v>
      </c>
      <c r="D21" s="5"/>
      <c r="F21" s="5"/>
      <c r="G21" s="5"/>
    </row>
    <row r="22" spans="1:7" x14ac:dyDescent="0.45">
      <c r="A22" s="4" t="s">
        <v>86</v>
      </c>
      <c r="B22" s="4" t="s">
        <v>16</v>
      </c>
      <c r="C22" s="4" t="s">
        <v>16</v>
      </c>
      <c r="D22" s="5">
        <v>70</v>
      </c>
      <c r="E22" s="4" t="s">
        <v>16</v>
      </c>
      <c r="F22" s="5">
        <v>2</v>
      </c>
      <c r="G22" s="5">
        <v>1.1499999999999999</v>
      </c>
    </row>
    <row r="23" spans="1:7" x14ac:dyDescent="0.45">
      <c r="A23" s="4" t="s">
        <v>84</v>
      </c>
      <c r="B23" s="4" t="s">
        <v>32</v>
      </c>
      <c r="C23" s="4" t="s">
        <v>37</v>
      </c>
      <c r="D23" s="5">
        <v>1</v>
      </c>
      <c r="E23" s="4" t="s">
        <v>53</v>
      </c>
      <c r="F23" s="5">
        <v>40</v>
      </c>
      <c r="G23" s="5">
        <v>2.1</v>
      </c>
    </row>
    <row r="24" spans="1:7" x14ac:dyDescent="0.45">
      <c r="A24" s="4" t="s">
        <v>76</v>
      </c>
      <c r="B24" s="4" t="s">
        <v>32</v>
      </c>
      <c r="C24" s="4" t="s">
        <v>37</v>
      </c>
      <c r="D24" s="5">
        <v>45</v>
      </c>
      <c r="E24" s="4" t="s">
        <v>53</v>
      </c>
      <c r="F24" s="5">
        <v>215</v>
      </c>
      <c r="G24" s="5">
        <v>1.5</v>
      </c>
    </row>
    <row r="25" spans="1:7" x14ac:dyDescent="0.45">
      <c r="A25" s="4" t="s">
        <v>83</v>
      </c>
      <c r="B25" s="4" t="s">
        <v>16</v>
      </c>
      <c r="C25" s="4" t="s">
        <v>16</v>
      </c>
      <c r="D25" s="5">
        <v>470</v>
      </c>
      <c r="E25" s="4" t="s">
        <v>16</v>
      </c>
      <c r="F25" s="5">
        <v>259</v>
      </c>
      <c r="G25" s="5">
        <v>0.14000000000000001</v>
      </c>
    </row>
    <row r="26" spans="1:7" x14ac:dyDescent="0.45">
      <c r="A26" s="4" t="s">
        <v>103</v>
      </c>
      <c r="D26" s="5"/>
      <c r="F26" s="5"/>
      <c r="G26" s="5"/>
    </row>
    <row r="27" spans="1:7" x14ac:dyDescent="0.45">
      <c r="A27" s="4" t="s">
        <v>28</v>
      </c>
    </row>
    <row r="28" spans="1:7" x14ac:dyDescent="0.45">
      <c r="A28" s="4" t="s">
        <v>100</v>
      </c>
      <c r="B28" s="4" t="s">
        <v>16</v>
      </c>
      <c r="C28" s="4" t="s">
        <v>16</v>
      </c>
      <c r="D28" s="5">
        <v>25</v>
      </c>
      <c r="E28" s="4" t="s">
        <v>16</v>
      </c>
      <c r="F28" s="5">
        <v>2</v>
      </c>
      <c r="G28" s="5">
        <v>3</v>
      </c>
    </row>
    <row r="29" spans="1:7" x14ac:dyDescent="0.45">
      <c r="A29" s="4" t="s">
        <v>96</v>
      </c>
      <c r="B29" s="4" t="s">
        <v>16</v>
      </c>
      <c r="C29" s="4" t="s">
        <v>16</v>
      </c>
      <c r="D29" s="5">
        <v>102</v>
      </c>
      <c r="E29" s="4" t="s">
        <v>16</v>
      </c>
      <c r="F29" s="5">
        <v>6</v>
      </c>
      <c r="G29" s="5">
        <v>0.7</v>
      </c>
    </row>
    <row r="30" spans="1:7" x14ac:dyDescent="0.45">
      <c r="A30" s="4" t="s">
        <v>18</v>
      </c>
    </row>
    <row r="31" spans="1:7" x14ac:dyDescent="0.45">
      <c r="A31" s="4" t="s">
        <v>85</v>
      </c>
      <c r="B31" s="4" t="s">
        <v>16</v>
      </c>
      <c r="C31" s="4" t="s">
        <v>16</v>
      </c>
      <c r="D31" s="5">
        <v>11</v>
      </c>
      <c r="E31" s="4" t="s">
        <v>16</v>
      </c>
      <c r="F31" s="5">
        <v>2</v>
      </c>
      <c r="G31" s="5">
        <v>1.35</v>
      </c>
    </row>
    <row r="32" spans="1:7" x14ac:dyDescent="0.45">
      <c r="A32" s="4" t="s">
        <v>29</v>
      </c>
      <c r="B32" s="4" t="s">
        <v>16</v>
      </c>
      <c r="C32" s="4" t="s">
        <v>16</v>
      </c>
      <c r="D32" s="5">
        <v>100</v>
      </c>
      <c r="E32" s="4" t="s">
        <v>16</v>
      </c>
      <c r="F32" s="5">
        <v>2</v>
      </c>
      <c r="G32" s="5">
        <v>3</v>
      </c>
    </row>
    <row r="33" spans="1:7" x14ac:dyDescent="0.45">
      <c r="A33" s="4" t="s">
        <v>94</v>
      </c>
      <c r="B33" s="4" t="s">
        <v>16</v>
      </c>
      <c r="C33" s="4" t="s">
        <v>16</v>
      </c>
      <c r="D33" s="5">
        <v>100</v>
      </c>
      <c r="E33" s="4" t="s">
        <v>16</v>
      </c>
      <c r="F33" s="5">
        <v>1</v>
      </c>
      <c r="G33" s="5">
        <v>6</v>
      </c>
    </row>
    <row r="34" spans="1:7" x14ac:dyDescent="0.45">
      <c r="A34" s="4" t="s">
        <v>79</v>
      </c>
      <c r="B34" s="4" t="s">
        <v>32</v>
      </c>
      <c r="C34" s="4" t="s">
        <v>37</v>
      </c>
      <c r="D34" s="5">
        <v>100</v>
      </c>
      <c r="E34" s="4" t="s">
        <v>37</v>
      </c>
      <c r="F34" s="5">
        <v>4.5</v>
      </c>
      <c r="G34" s="5">
        <v>5</v>
      </c>
    </row>
    <row r="35" spans="1:7" x14ac:dyDescent="0.45">
      <c r="A35" s="4" t="s">
        <v>80</v>
      </c>
      <c r="B35" s="4" t="s">
        <v>16</v>
      </c>
      <c r="C35" s="4" t="s">
        <v>16</v>
      </c>
      <c r="D35" s="5">
        <v>1</v>
      </c>
      <c r="E35" s="4" t="s">
        <v>16</v>
      </c>
      <c r="F35" s="5">
        <v>1</v>
      </c>
      <c r="G35" s="5">
        <v>1.5</v>
      </c>
    </row>
    <row r="36" spans="1:7" x14ac:dyDescent="0.45">
      <c r="A36" s="4" t="s">
        <v>115</v>
      </c>
      <c r="B36" s="4" t="s">
        <v>34</v>
      </c>
      <c r="C36" s="4" t="s">
        <v>66</v>
      </c>
      <c r="D36" s="5">
        <v>1</v>
      </c>
      <c r="E36" s="4" t="s">
        <v>57</v>
      </c>
      <c r="F36" s="5">
        <v>250</v>
      </c>
      <c r="G36" s="5">
        <v>1.7</v>
      </c>
    </row>
    <row r="37" spans="1:7" x14ac:dyDescent="0.45">
      <c r="A37" s="4" t="s">
        <v>116</v>
      </c>
      <c r="B37" s="4" t="s">
        <v>16</v>
      </c>
      <c r="C37" s="4" t="s">
        <v>16</v>
      </c>
      <c r="D37" s="5">
        <v>1</v>
      </c>
      <c r="E37" s="4" t="s">
        <v>16</v>
      </c>
      <c r="F37" s="5">
        <v>1</v>
      </c>
      <c r="G37" s="5">
        <v>1.4</v>
      </c>
    </row>
    <row r="38" spans="1:7" x14ac:dyDescent="0.45">
      <c r="A38" s="4" t="s">
        <v>117</v>
      </c>
      <c r="D38" s="5"/>
      <c r="F38" s="5"/>
      <c r="G38" s="5"/>
    </row>
    <row r="39" spans="1:7" x14ac:dyDescent="0.45">
      <c r="A39" s="4" t="s">
        <v>118</v>
      </c>
      <c r="D39" s="5"/>
      <c r="F39" s="5"/>
      <c r="G39" s="5"/>
    </row>
    <row r="40" spans="1:7" x14ac:dyDescent="0.45">
      <c r="A40" s="4" t="s">
        <v>121</v>
      </c>
      <c r="B40" s="4" t="s">
        <v>33</v>
      </c>
      <c r="C40" s="4" t="s">
        <v>65</v>
      </c>
      <c r="D40" s="5">
        <v>1</v>
      </c>
      <c r="E40" s="4" t="s">
        <v>65</v>
      </c>
      <c r="F40" s="5">
        <v>1</v>
      </c>
      <c r="G40" s="5">
        <v>1.8</v>
      </c>
    </row>
    <row r="41" spans="1:7" x14ac:dyDescent="0.45">
      <c r="A41" s="4" t="s">
        <v>125</v>
      </c>
      <c r="B41" s="4" t="s">
        <v>33</v>
      </c>
      <c r="C41" s="4" t="s">
        <v>65</v>
      </c>
      <c r="D41" s="4">
        <v>1</v>
      </c>
      <c r="E41" s="4" t="s">
        <v>65</v>
      </c>
      <c r="F41" s="4">
        <v>1</v>
      </c>
      <c r="G41" s="4">
        <v>1.8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19F86-4674-450E-A872-3350DAD21C19}">
  <sheetPr codeName="wsServicios"/>
  <dimension ref="A1:G9"/>
  <sheetViews>
    <sheetView workbookViewId="0">
      <selection activeCell="A2" sqref="A2:IV9"/>
    </sheetView>
  </sheetViews>
  <sheetFormatPr baseColWidth="10" defaultRowHeight="14.4" x14ac:dyDescent="0.3"/>
  <cols>
    <col min="1" max="1" width="17.109375" bestFit="1" customWidth="1"/>
    <col min="2" max="2" width="30.66406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4" t="s">
        <v>6</v>
      </c>
      <c r="B1" s="4" t="s">
        <v>31</v>
      </c>
      <c r="C1" s="4" t="s">
        <v>130</v>
      </c>
      <c r="D1" s="4" t="s">
        <v>131</v>
      </c>
      <c r="E1" s="4" t="s">
        <v>132</v>
      </c>
      <c r="F1" s="4" t="s">
        <v>133</v>
      </c>
      <c r="G1" s="4" t="s">
        <v>13</v>
      </c>
    </row>
    <row r="2" spans="1:7" ht="18.600000000000001" x14ac:dyDescent="0.45">
      <c r="A2" s="4" t="s">
        <v>70</v>
      </c>
      <c r="B2" s="4" t="s">
        <v>35</v>
      </c>
      <c r="C2" s="4" t="s">
        <v>40</v>
      </c>
      <c r="D2" s="5">
        <v>1</v>
      </c>
      <c r="E2" s="4" t="s">
        <v>42</v>
      </c>
      <c r="F2" s="5">
        <v>6</v>
      </c>
      <c r="G2" s="5">
        <v>30</v>
      </c>
    </row>
    <row r="3" spans="1:7" ht="18.600000000000001" x14ac:dyDescent="0.45">
      <c r="A3" s="4" t="s">
        <v>22</v>
      </c>
      <c r="B3" s="4" t="s">
        <v>35</v>
      </c>
      <c r="C3" s="4" t="s">
        <v>38</v>
      </c>
      <c r="D3" s="5">
        <v>1</v>
      </c>
      <c r="E3" s="4" t="s">
        <v>43</v>
      </c>
      <c r="F3" s="5">
        <v>45</v>
      </c>
      <c r="G3" s="5">
        <v>20</v>
      </c>
    </row>
    <row r="4" spans="1:7" ht="18.600000000000001" x14ac:dyDescent="0.45">
      <c r="A4" s="4" t="s">
        <v>26</v>
      </c>
      <c r="B4" s="4" t="s">
        <v>35</v>
      </c>
      <c r="C4" s="4" t="s">
        <v>40</v>
      </c>
      <c r="D4" s="5">
        <v>1</v>
      </c>
      <c r="E4" s="4" t="s">
        <v>43</v>
      </c>
      <c r="F4" s="5">
        <v>30</v>
      </c>
      <c r="G4" s="5">
        <v>25</v>
      </c>
    </row>
    <row r="5" spans="1:7" ht="18.600000000000001" x14ac:dyDescent="0.45">
      <c r="A5" s="4" t="s">
        <v>106</v>
      </c>
      <c r="B5" s="4" t="s">
        <v>35</v>
      </c>
      <c r="C5" s="4" t="s">
        <v>40</v>
      </c>
      <c r="D5" s="5">
        <v>1</v>
      </c>
      <c r="E5" s="4" t="s">
        <v>42</v>
      </c>
      <c r="F5" s="5">
        <v>0.75</v>
      </c>
      <c r="G5" s="5">
        <v>5</v>
      </c>
    </row>
    <row r="6" spans="1:7" ht="18.600000000000001" x14ac:dyDescent="0.45">
      <c r="A6" s="4" t="s">
        <v>120</v>
      </c>
      <c r="B6" s="4"/>
      <c r="C6" s="4"/>
      <c r="D6" s="5"/>
      <c r="E6" s="4"/>
      <c r="F6" s="5"/>
      <c r="G6" s="5"/>
    </row>
    <row r="7" spans="1:7" ht="18.600000000000001" x14ac:dyDescent="0.45">
      <c r="A7" s="4" t="s">
        <v>119</v>
      </c>
      <c r="B7" s="4" t="s">
        <v>35</v>
      </c>
      <c r="C7" s="4" t="s">
        <v>40</v>
      </c>
      <c r="D7" s="5">
        <v>1</v>
      </c>
      <c r="E7" s="4" t="s">
        <v>43</v>
      </c>
      <c r="F7" s="5">
        <v>5</v>
      </c>
      <c r="G7" s="5">
        <v>60</v>
      </c>
    </row>
    <row r="8" spans="1:7" ht="18.600000000000001" x14ac:dyDescent="0.45">
      <c r="A8" s="4" t="s">
        <v>124</v>
      </c>
      <c r="B8" s="4" t="s">
        <v>35</v>
      </c>
      <c r="C8" s="4" t="s">
        <v>40</v>
      </c>
      <c r="D8" s="5">
        <v>1</v>
      </c>
      <c r="E8" s="4" t="s">
        <v>43</v>
      </c>
      <c r="F8" s="5">
        <v>30</v>
      </c>
      <c r="G8" s="5">
        <v>60</v>
      </c>
    </row>
    <row r="9" spans="1:7" ht="18.600000000000001" x14ac:dyDescent="0.45">
      <c r="A9" s="4" t="s">
        <v>126</v>
      </c>
      <c r="B9" s="4" t="s">
        <v>35</v>
      </c>
      <c r="C9" s="4" t="s">
        <v>40</v>
      </c>
      <c r="D9" s="5">
        <v>1</v>
      </c>
      <c r="E9" s="4" t="s">
        <v>43</v>
      </c>
      <c r="F9" s="5">
        <v>30</v>
      </c>
      <c r="G9" s="5">
        <v>60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A5AB0-A49F-487E-8649-50581C9E389B}">
  <sheetPr codeName="wsManoDeObra"/>
  <dimension ref="A1:G6"/>
  <sheetViews>
    <sheetView workbookViewId="0">
      <selection activeCell="A2" sqref="A2:IV5"/>
    </sheetView>
  </sheetViews>
  <sheetFormatPr baseColWidth="10" defaultColWidth="12.6640625" defaultRowHeight="14.4" x14ac:dyDescent="0.3"/>
  <cols>
    <col min="1" max="1" width="23.33203125" bestFit="1" customWidth="1"/>
    <col min="2" max="2" width="24.332031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4" t="s">
        <v>7</v>
      </c>
      <c r="B1" s="4" t="s">
        <v>31</v>
      </c>
      <c r="C1" s="4" t="s">
        <v>130</v>
      </c>
      <c r="D1" s="4" t="s">
        <v>131</v>
      </c>
      <c r="E1" s="4" t="s">
        <v>132</v>
      </c>
      <c r="F1" s="4" t="s">
        <v>133</v>
      </c>
      <c r="G1" s="4" t="s">
        <v>13</v>
      </c>
    </row>
    <row r="2" spans="1:7" ht="18.600000000000001" x14ac:dyDescent="0.45">
      <c r="A2" s="4" t="s">
        <v>23</v>
      </c>
      <c r="B2" s="4" t="s">
        <v>35</v>
      </c>
      <c r="C2" s="4" t="s">
        <v>40</v>
      </c>
      <c r="D2" s="5">
        <v>1</v>
      </c>
      <c r="E2" s="4" t="s">
        <v>43</v>
      </c>
      <c r="F2" s="5">
        <v>40</v>
      </c>
      <c r="G2" s="5">
        <v>500</v>
      </c>
    </row>
    <row r="3" spans="1:7" ht="18.600000000000001" x14ac:dyDescent="0.45">
      <c r="A3" s="4" t="s">
        <v>107</v>
      </c>
      <c r="B3" s="4" t="s">
        <v>35</v>
      </c>
      <c r="C3" s="4" t="s">
        <v>40</v>
      </c>
      <c r="D3" s="5">
        <v>1</v>
      </c>
      <c r="E3" s="4" t="s">
        <v>43</v>
      </c>
      <c r="F3" s="5">
        <v>40</v>
      </c>
      <c r="G3" s="5">
        <v>120</v>
      </c>
    </row>
    <row r="4" spans="1:7" ht="18.600000000000001" x14ac:dyDescent="0.45">
      <c r="A4" s="4" t="s">
        <v>122</v>
      </c>
      <c r="B4" s="4" t="s">
        <v>35</v>
      </c>
      <c r="C4" s="4" t="s">
        <v>42</v>
      </c>
      <c r="D4" s="5">
        <v>1</v>
      </c>
      <c r="E4" s="4" t="s">
        <v>43</v>
      </c>
      <c r="F4" s="5">
        <v>45</v>
      </c>
      <c r="G4" s="5">
        <v>3</v>
      </c>
    </row>
    <row r="5" spans="1:7" ht="18.600000000000001" x14ac:dyDescent="0.45">
      <c r="A5" s="4" t="s">
        <v>127</v>
      </c>
      <c r="B5" s="4" t="s">
        <v>35</v>
      </c>
      <c r="C5" s="4" t="s">
        <v>42</v>
      </c>
      <c r="D5" s="4">
        <v>1</v>
      </c>
      <c r="E5" s="4" t="s">
        <v>43</v>
      </c>
      <c r="F5" s="4">
        <v>45</v>
      </c>
      <c r="G5" s="4">
        <v>3</v>
      </c>
    </row>
    <row r="6" spans="1:7" ht="18.600000000000001" x14ac:dyDescent="0.45">
      <c r="A6" s="4" t="s">
        <v>157</v>
      </c>
      <c r="B6" s="4" t="s">
        <v>35</v>
      </c>
      <c r="C6" s="4" t="s">
        <v>42</v>
      </c>
      <c r="D6" s="5">
        <v>1</v>
      </c>
      <c r="E6" s="4" t="s">
        <v>43</v>
      </c>
      <c r="F6" s="5">
        <v>30</v>
      </c>
      <c r="G6" s="5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wsFormulario"/>
  <dimension ref="B1:M33"/>
  <sheetViews>
    <sheetView showGridLines="0" tabSelected="1" zoomScaleNormal="100" workbookViewId="0">
      <selection activeCell="K34" sqref="K34"/>
    </sheetView>
  </sheetViews>
  <sheetFormatPr baseColWidth="10" defaultRowHeight="14.4" x14ac:dyDescent="0.3"/>
  <cols>
    <col min="1" max="1" width="5.109375" style="8" customWidth="1"/>
    <col min="2" max="2" width="39.88671875" style="8" customWidth="1"/>
    <col min="3" max="3" width="4.33203125" style="8" customWidth="1"/>
    <col min="4" max="4" width="22.6640625" style="8" customWidth="1"/>
    <col min="5" max="5" width="17.6640625" style="8" customWidth="1"/>
    <col min="6" max="6" width="3.33203125" style="8" customWidth="1"/>
    <col min="7" max="7" width="16.88671875" style="8" customWidth="1"/>
    <col min="8" max="8" width="16.33203125" style="8" customWidth="1"/>
    <col min="9" max="9" width="3.44140625" style="8" customWidth="1"/>
    <col min="10" max="10" width="23.6640625" style="8" customWidth="1"/>
    <col min="11" max="11" width="15.88671875" style="8" customWidth="1"/>
    <col min="12" max="12" width="3" style="8" customWidth="1"/>
    <col min="13" max="13" width="24.33203125" style="8" bestFit="1" customWidth="1"/>
    <col min="14" max="16384" width="11.5546875" style="8"/>
  </cols>
  <sheetData>
    <row r="1" spans="2:13" ht="40.950000000000003" customHeight="1" x14ac:dyDescent="0.3">
      <c r="M1" s="9"/>
    </row>
    <row r="2" spans="2:13" ht="6" customHeight="1" x14ac:dyDescent="0.3"/>
    <row r="3" spans="2:13" ht="23.4" customHeight="1" thickBot="1" x14ac:dyDescent="0.35">
      <c r="B3" s="10" t="s">
        <v>4</v>
      </c>
      <c r="C3" s="11"/>
      <c r="D3" s="12" t="s">
        <v>5</v>
      </c>
      <c r="E3" s="12" t="s">
        <v>161</v>
      </c>
      <c r="G3" s="12" t="s">
        <v>6</v>
      </c>
      <c r="H3" s="12" t="s">
        <v>161</v>
      </c>
      <c r="J3" s="12" t="s">
        <v>7</v>
      </c>
      <c r="K3" s="12" t="s">
        <v>161</v>
      </c>
      <c r="M3" s="13" t="s">
        <v>5</v>
      </c>
    </row>
    <row r="4" spans="2:13" ht="19.2" thickBot="1" x14ac:dyDescent="0.5">
      <c r="B4" s="14" t="s">
        <v>129</v>
      </c>
      <c r="C4" s="15"/>
      <c r="D4" s="16" t="s">
        <v>21</v>
      </c>
      <c r="E4" s="17">
        <v>0.5</v>
      </c>
      <c r="G4" s="16" t="s">
        <v>70</v>
      </c>
      <c r="H4" s="17">
        <v>0.25</v>
      </c>
      <c r="J4" s="16" t="s">
        <v>23</v>
      </c>
      <c r="K4" s="17">
        <v>0.40500000000000003</v>
      </c>
      <c r="M4" s="29">
        <f>E16</f>
        <v>2.8220000000000001</v>
      </c>
    </row>
    <row r="5" spans="2:13" ht="17.399999999999999" x14ac:dyDescent="0.45">
      <c r="D5" s="16" t="s">
        <v>85</v>
      </c>
      <c r="E5" s="17">
        <v>0.245</v>
      </c>
      <c r="G5" s="16" t="s">
        <v>22</v>
      </c>
      <c r="H5" s="17">
        <v>8.8999999999999996E-2</v>
      </c>
      <c r="J5" s="16" t="s">
        <v>107</v>
      </c>
      <c r="K5" s="17">
        <v>9.7000000000000003E-2</v>
      </c>
    </row>
    <row r="6" spans="2:13" ht="25.2" customHeight="1" thickBot="1" x14ac:dyDescent="0.5">
      <c r="B6" s="10" t="s">
        <v>9</v>
      </c>
      <c r="D6" s="16" t="s">
        <v>83</v>
      </c>
      <c r="E6" s="17">
        <v>7.6999999999999999E-2</v>
      </c>
      <c r="G6" s="16" t="s">
        <v>26</v>
      </c>
      <c r="H6" s="17">
        <v>1.7000000000000001E-2</v>
      </c>
      <c r="J6" s="16"/>
      <c r="K6" s="17"/>
      <c r="M6" s="13" t="s">
        <v>6</v>
      </c>
    </row>
    <row r="7" spans="2:13" ht="19.95" customHeight="1" thickBot="1" x14ac:dyDescent="0.5">
      <c r="B7" s="18" t="s">
        <v>27</v>
      </c>
      <c r="D7" s="16" t="s">
        <v>86</v>
      </c>
      <c r="E7" s="17">
        <v>3.3000000000000002E-2</v>
      </c>
      <c r="G7" s="16" t="s">
        <v>106</v>
      </c>
      <c r="H7" s="17">
        <v>5.0000000000000001E-3</v>
      </c>
      <c r="J7" s="16"/>
      <c r="K7" s="17"/>
      <c r="M7" s="29">
        <f>H16</f>
        <v>0.36099999999999999</v>
      </c>
    </row>
    <row r="8" spans="2:13" ht="17.399999999999999" x14ac:dyDescent="0.45">
      <c r="D8" s="16" t="s">
        <v>84</v>
      </c>
      <c r="E8" s="17">
        <v>0.84</v>
      </c>
      <c r="G8" s="16"/>
      <c r="H8" s="17"/>
      <c r="J8" s="19"/>
      <c r="K8" s="17"/>
    </row>
    <row r="9" spans="2:13" ht="25.2" customHeight="1" thickBot="1" x14ac:dyDescent="0.5">
      <c r="B9" s="10" t="s">
        <v>10</v>
      </c>
      <c r="D9" s="16" t="s">
        <v>93</v>
      </c>
      <c r="E9" s="17">
        <v>5.3999999999999999E-2</v>
      </c>
      <c r="G9" s="16"/>
      <c r="H9" s="17"/>
      <c r="J9" s="19"/>
      <c r="K9" s="17"/>
      <c r="M9" s="13" t="s">
        <v>7</v>
      </c>
    </row>
    <row r="10" spans="2:13" ht="19.2" thickBot="1" x14ac:dyDescent="0.5">
      <c r="B10" s="28">
        <v>0.3</v>
      </c>
      <c r="D10" s="16" t="s">
        <v>94</v>
      </c>
      <c r="E10" s="17">
        <v>0.06</v>
      </c>
      <c r="G10" s="19"/>
      <c r="H10" s="17"/>
      <c r="J10" s="19"/>
      <c r="K10" s="17"/>
      <c r="M10" s="29">
        <f>K16</f>
        <v>0.502</v>
      </c>
    </row>
    <row r="11" spans="2:13" ht="21" x14ac:dyDescent="0.45">
      <c r="B11" s="7">
        <f>M16-M13</f>
        <v>1.1055000000000001</v>
      </c>
      <c r="D11" s="16" t="s">
        <v>101</v>
      </c>
      <c r="E11" s="17">
        <v>1.2999999999999999E-2</v>
      </c>
      <c r="G11" s="19"/>
      <c r="H11" s="17"/>
      <c r="J11" s="19"/>
      <c r="K11" s="17"/>
    </row>
    <row r="12" spans="2:13" ht="21.6" thickBot="1" x14ac:dyDescent="0.5">
      <c r="D12" s="16" t="s">
        <v>102</v>
      </c>
      <c r="E12" s="17">
        <v>1</v>
      </c>
      <c r="G12" s="19"/>
      <c r="H12" s="17"/>
      <c r="J12" s="19"/>
      <c r="K12" s="17"/>
      <c r="M12" s="13" t="s">
        <v>12</v>
      </c>
    </row>
    <row r="13" spans="2:13" ht="19.2" thickBot="1" x14ac:dyDescent="0.5">
      <c r="B13" s="20" t="s">
        <v>129</v>
      </c>
      <c r="E13" s="17"/>
      <c r="G13" s="19"/>
      <c r="H13" s="17"/>
      <c r="J13" s="19"/>
      <c r="K13" s="17"/>
      <c r="M13" s="29">
        <f>M4+M7+M10</f>
        <v>3.6849999999999996</v>
      </c>
    </row>
    <row r="14" spans="2:13" ht="17.399999999999999" x14ac:dyDescent="0.45">
      <c r="E14" s="17"/>
      <c r="G14" s="19"/>
      <c r="H14" s="17"/>
      <c r="J14" s="19"/>
      <c r="K14" s="17"/>
    </row>
    <row r="15" spans="2:13" ht="23.4" customHeight="1" thickBot="1" x14ac:dyDescent="0.5">
      <c r="E15" s="17"/>
      <c r="G15" s="19"/>
      <c r="H15" s="17"/>
      <c r="J15" s="19"/>
      <c r="K15" s="17"/>
      <c r="M15" s="13" t="s">
        <v>13</v>
      </c>
    </row>
    <row r="16" spans="2:13" ht="29.4" customHeight="1" thickBot="1" x14ac:dyDescent="0.5">
      <c r="D16" s="19" t="s">
        <v>8</v>
      </c>
      <c r="E16" s="17">
        <f>SUBTOTAL(109,TablaF_Materiales[COSTO])</f>
        <v>2.8220000000000001</v>
      </c>
      <c r="G16" s="21" t="s">
        <v>8</v>
      </c>
      <c r="H16" s="22">
        <f>SUBTOTAL(109,TablaF_Servicios[COSTO])</f>
        <v>0.36099999999999999</v>
      </c>
      <c r="J16" s="19" t="s">
        <v>8</v>
      </c>
      <c r="K16" s="17">
        <f>SUBTOTAL(109,TablaF_ManoDeObra[COSTO])</f>
        <v>0.502</v>
      </c>
      <c r="M16" s="29">
        <f>M13*(1+B10)</f>
        <v>4.7904999999999998</v>
      </c>
    </row>
    <row r="17" spans="2:11" ht="10.199999999999999" customHeight="1" x14ac:dyDescent="0.3"/>
    <row r="26" spans="2:11" x14ac:dyDescent="0.3">
      <c r="B26" s="23"/>
      <c r="D26" s="24"/>
    </row>
    <row r="27" spans="2:11" x14ac:dyDescent="0.3">
      <c r="B27" s="23"/>
      <c r="D27" s="24"/>
    </row>
    <row r="28" spans="2:11" x14ac:dyDescent="0.3">
      <c r="B28" s="23"/>
      <c r="D28" s="24"/>
    </row>
    <row r="29" spans="2:11" x14ac:dyDescent="0.3">
      <c r="B29" s="23"/>
      <c r="D29" s="24"/>
    </row>
    <row r="30" spans="2:11" ht="15" thickBot="1" x14ac:dyDescent="0.35"/>
    <row r="31" spans="2:11" ht="18.600000000000001" x14ac:dyDescent="0.3">
      <c r="J31" s="25" t="s">
        <v>5</v>
      </c>
      <c r="K31" s="30">
        <f>E16</f>
        <v>2.8220000000000001</v>
      </c>
    </row>
    <row r="32" spans="2:11" ht="18.600000000000001" x14ac:dyDescent="0.3">
      <c r="J32" s="26" t="s">
        <v>6</v>
      </c>
      <c r="K32" s="31">
        <f>H16</f>
        <v>0.36099999999999999</v>
      </c>
    </row>
    <row r="33" spans="10:11" ht="19.2" thickBot="1" x14ac:dyDescent="0.35">
      <c r="J33" s="27" t="s">
        <v>7</v>
      </c>
      <c r="K33" s="32">
        <f>K16</f>
        <v>0.502</v>
      </c>
    </row>
  </sheetData>
  <hyperlinks>
    <hyperlink ref="D4" display="BROCHE" xr:uid="{6B8B38BF-B34C-4625-9E71-19A690F94308}"/>
    <hyperlink ref="D5" display="TAPA NUDOS" xr:uid="{1FDE236E-6F7B-41C2-9975-C382F3517EB5}"/>
    <hyperlink ref="D6" display="MOSTACILLA CALIBRADA" xr:uid="{54FF3B45-9151-4B23-9A2D-6072CFDFA3BF}"/>
    <hyperlink ref="D7" display="GRAPAS" xr:uid="{9AF7442B-C07B-4BAD-B571-C27BBF210942}"/>
    <hyperlink ref="D8" display="GUAYA" xr:uid="{CF842E57-8BFC-4941-8482-CA6424ABF3BD}"/>
    <hyperlink ref="D9" display="BALIN 3MM" xr:uid="{737A6C99-3355-4BCD-B88E-FCE98901FF58}"/>
    <hyperlink ref="D10" display="TARJETA" xr:uid="{451CE14C-01AC-4BE6-A9FD-6B2A83E34F1F}"/>
    <hyperlink ref="D11" display="BOLSA TRANSPARENTE 8X10" xr:uid="{C6DF8F0B-085F-466F-8C3A-A650CDEF4423}"/>
    <hyperlink ref="D12" display="DIJE DE ESTRELLA" xr:uid="{EE5A37DC-A31F-4FB3-9B99-58AEF45B7621}"/>
    <hyperlink ref="G4" display="CONTADOR" xr:uid="{86BF6CF6-B096-4DFA-9EC7-2BAC6CE2C68F}"/>
    <hyperlink ref="G5" display="GASOLINA" xr:uid="{C6D7F8FE-08F5-496C-AE24-CBD46C7B161E}"/>
    <hyperlink ref="G6" display="INTERNET" xr:uid="{85164050-C23A-4CBF-8F28-2606960286A7}"/>
    <hyperlink ref="G7" display="TELÉFONO" xr:uid="{AFB8A8AA-9BD9-4306-ACF7-114071DCC73A}"/>
    <hyperlink ref="J4" display="ROMINA" xr:uid="{460E96A9-20EC-4316-AC44-C047715B3669}"/>
    <hyperlink ref="J5" display="CAMILA SUPPINI" xr:uid="{72A45EDC-2BC6-49B7-AA44-04CF2C61AD98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tnActualizarVersion">
          <controlPr defaultSize="0" autoLine="0" r:id="rId5">
            <anchor moveWithCells="1">
              <from>
                <xdr:col>11</xdr:col>
                <xdr:colOff>198120</xdr:colOff>
                <xdr:row>0</xdr:row>
                <xdr:rowOff>121920</xdr:rowOff>
              </from>
              <to>
                <xdr:col>12</xdr:col>
                <xdr:colOff>1638300</xdr:colOff>
                <xdr:row>0</xdr:row>
                <xdr:rowOff>411480</xdr:rowOff>
              </to>
            </anchor>
          </controlPr>
        </control>
      </mc:Choice>
      <mc:Fallback>
        <control shapeId="1035" r:id="rId4" name="btnActualizarVersion"/>
      </mc:Fallback>
    </mc:AlternateContent>
  </controls>
  <tableParts count="3">
    <tablePart r:id="rId6"/>
    <tablePart r:id="rId7"/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wsUnidades"/>
  <dimension ref="A1:D22"/>
  <sheetViews>
    <sheetView zoomScale="95" zoomScaleNormal="95" workbookViewId="0">
      <selection activeCell="D3" sqref="D3"/>
    </sheetView>
  </sheetViews>
  <sheetFormatPr baseColWidth="10" defaultRowHeight="14.4" x14ac:dyDescent="0.3"/>
  <cols>
    <col min="1" max="1" width="30.6640625" bestFit="1" customWidth="1"/>
    <col min="2" max="2" width="25.33203125" customWidth="1"/>
    <col min="3" max="3" width="45.6640625" customWidth="1"/>
    <col min="4" max="4" width="24.44140625" customWidth="1"/>
  </cols>
  <sheetData>
    <row r="1" spans="1:4" ht="18.600000000000001" x14ac:dyDescent="0.45">
      <c r="A1" s="4" t="s">
        <v>31</v>
      </c>
      <c r="B1" s="4" t="s">
        <v>17</v>
      </c>
      <c r="C1" s="4" t="s">
        <v>44</v>
      </c>
      <c r="D1" s="4" t="s">
        <v>49</v>
      </c>
    </row>
    <row r="2" spans="1:4" ht="18.600000000000001" x14ac:dyDescent="0.45">
      <c r="A2" s="4" t="s">
        <v>32</v>
      </c>
      <c r="B2" s="4" t="s">
        <v>37</v>
      </c>
      <c r="C2" s="4" t="s">
        <v>36</v>
      </c>
      <c r="D2" s="4">
        <v>1</v>
      </c>
    </row>
    <row r="3" spans="1:4" ht="18.600000000000001" x14ac:dyDescent="0.45">
      <c r="A3" s="4" t="s">
        <v>16</v>
      </c>
      <c r="B3" s="4" t="s">
        <v>16</v>
      </c>
      <c r="C3" s="4" t="s">
        <v>45</v>
      </c>
      <c r="D3" s="4">
        <v>1</v>
      </c>
    </row>
    <row r="4" spans="1:4" ht="18.600000000000001" x14ac:dyDescent="0.45">
      <c r="A4" s="4" t="s">
        <v>33</v>
      </c>
      <c r="B4" s="4" t="s">
        <v>65</v>
      </c>
      <c r="C4" s="4" t="s">
        <v>48</v>
      </c>
      <c r="D4" s="4">
        <v>1</v>
      </c>
    </row>
    <row r="5" spans="1:4" ht="18.600000000000001" x14ac:dyDescent="0.45">
      <c r="A5" s="4" t="s">
        <v>32</v>
      </c>
      <c r="B5" s="4" t="s">
        <v>53</v>
      </c>
      <c r="C5" s="4" t="s">
        <v>36</v>
      </c>
      <c r="D5" s="4">
        <v>2</v>
      </c>
    </row>
    <row r="6" spans="1:4" ht="18.600000000000001" x14ac:dyDescent="0.45">
      <c r="A6" s="4" t="s">
        <v>32</v>
      </c>
      <c r="B6" s="4" t="s">
        <v>54</v>
      </c>
      <c r="C6" s="4" t="s">
        <v>36</v>
      </c>
      <c r="D6" s="4">
        <v>3</v>
      </c>
    </row>
    <row r="7" spans="1:4" ht="18.600000000000001" x14ac:dyDescent="0.45">
      <c r="A7" s="4" t="s">
        <v>33</v>
      </c>
      <c r="B7" s="4" t="s">
        <v>61</v>
      </c>
      <c r="C7" s="4" t="s">
        <v>48</v>
      </c>
      <c r="D7" s="4">
        <v>2</v>
      </c>
    </row>
    <row r="8" spans="1:4" ht="18.600000000000001" x14ac:dyDescent="0.45">
      <c r="A8" s="4" t="s">
        <v>34</v>
      </c>
      <c r="B8" s="4" t="s">
        <v>57</v>
      </c>
      <c r="C8" s="4" t="s">
        <v>46</v>
      </c>
      <c r="D8" s="4">
        <v>2</v>
      </c>
    </row>
    <row r="9" spans="1:4" ht="18.600000000000001" x14ac:dyDescent="0.45">
      <c r="A9" s="4" t="s">
        <v>35</v>
      </c>
      <c r="B9" s="4" t="s">
        <v>38</v>
      </c>
      <c r="C9" s="4" t="s">
        <v>47</v>
      </c>
      <c r="D9" s="4">
        <v>5</v>
      </c>
    </row>
    <row r="10" spans="1:4" ht="18.600000000000001" x14ac:dyDescent="0.45">
      <c r="A10" s="4" t="s">
        <v>35</v>
      </c>
      <c r="B10" s="4" t="s">
        <v>39</v>
      </c>
      <c r="C10" s="4" t="s">
        <v>47</v>
      </c>
      <c r="D10" s="4">
        <v>4</v>
      </c>
    </row>
    <row r="11" spans="1:4" ht="18.600000000000001" x14ac:dyDescent="0.45">
      <c r="A11" s="4" t="s">
        <v>35</v>
      </c>
      <c r="B11" s="4" t="s">
        <v>40</v>
      </c>
      <c r="C11" s="4" t="s">
        <v>47</v>
      </c>
      <c r="D11" s="4">
        <v>6</v>
      </c>
    </row>
    <row r="12" spans="1:4" ht="18.600000000000001" x14ac:dyDescent="0.45">
      <c r="A12" s="4" t="s">
        <v>35</v>
      </c>
      <c r="B12" s="4" t="s">
        <v>41</v>
      </c>
      <c r="C12" s="4" t="s">
        <v>47</v>
      </c>
      <c r="D12" s="4">
        <v>7</v>
      </c>
    </row>
    <row r="13" spans="1:4" ht="18.600000000000001" x14ac:dyDescent="0.45">
      <c r="A13" s="4" t="s">
        <v>35</v>
      </c>
      <c r="B13" s="4" t="s">
        <v>42</v>
      </c>
      <c r="C13" s="4" t="s">
        <v>47</v>
      </c>
      <c r="D13" s="4">
        <v>3</v>
      </c>
    </row>
    <row r="14" spans="1:4" ht="18.600000000000001" x14ac:dyDescent="0.45">
      <c r="A14" s="4" t="s">
        <v>35</v>
      </c>
      <c r="B14" s="4" t="s">
        <v>43</v>
      </c>
      <c r="C14" s="4" t="s">
        <v>47</v>
      </c>
      <c r="D14" s="4">
        <v>2</v>
      </c>
    </row>
    <row r="15" spans="1:4" ht="18.600000000000001" x14ac:dyDescent="0.45">
      <c r="A15" s="4" t="s">
        <v>35</v>
      </c>
      <c r="B15" s="4" t="s">
        <v>62</v>
      </c>
      <c r="C15" s="4" t="s">
        <v>47</v>
      </c>
      <c r="D15" s="4">
        <v>1</v>
      </c>
    </row>
    <row r="16" spans="1:4" ht="18.600000000000001" x14ac:dyDescent="0.45">
      <c r="A16" s="4" t="s">
        <v>34</v>
      </c>
      <c r="B16" s="4" t="s">
        <v>66</v>
      </c>
      <c r="C16" s="4" t="s">
        <v>46</v>
      </c>
      <c r="D16" s="4">
        <v>1</v>
      </c>
    </row>
    <row r="17" spans="1:4" ht="18.600000000000001" x14ac:dyDescent="0.45">
      <c r="A17" s="4" t="s">
        <v>34</v>
      </c>
      <c r="B17" s="4" t="s">
        <v>58</v>
      </c>
      <c r="C17" s="4" t="s">
        <v>46</v>
      </c>
      <c r="D17" s="4">
        <v>5</v>
      </c>
    </row>
    <row r="18" spans="1:4" ht="18.600000000000001" x14ac:dyDescent="0.45">
      <c r="A18" s="4" t="s">
        <v>50</v>
      </c>
      <c r="B18" s="4" t="s">
        <v>51</v>
      </c>
      <c r="C18" s="4" t="s">
        <v>52</v>
      </c>
      <c r="D18" s="4">
        <v>1</v>
      </c>
    </row>
    <row r="19" spans="1:4" ht="18.600000000000001" x14ac:dyDescent="0.45">
      <c r="A19" s="4" t="s">
        <v>33</v>
      </c>
      <c r="B19" s="4" t="s">
        <v>63</v>
      </c>
      <c r="C19" s="4" t="s">
        <v>48</v>
      </c>
      <c r="D19" s="4">
        <v>3</v>
      </c>
    </row>
    <row r="20" spans="1:4" ht="18.600000000000001" x14ac:dyDescent="0.45">
      <c r="A20" s="4" t="s">
        <v>33</v>
      </c>
      <c r="B20" s="4" t="s">
        <v>64</v>
      </c>
      <c r="C20" s="4" t="s">
        <v>48</v>
      </c>
      <c r="D20" s="4">
        <v>4</v>
      </c>
    </row>
    <row r="21" spans="1:4" ht="18.600000000000001" x14ac:dyDescent="0.45">
      <c r="A21" s="4" t="s">
        <v>34</v>
      </c>
      <c r="B21" s="4" t="s">
        <v>59</v>
      </c>
      <c r="C21" s="4" t="s">
        <v>46</v>
      </c>
      <c r="D21" s="4">
        <v>3</v>
      </c>
    </row>
    <row r="22" spans="1:4" ht="18.600000000000001" x14ac:dyDescent="0.45">
      <c r="A22" s="4" t="s">
        <v>34</v>
      </c>
      <c r="B22" s="4" t="s">
        <v>60</v>
      </c>
      <c r="C22" s="4" t="s">
        <v>46</v>
      </c>
      <c r="D22" s="4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wsCategorias"/>
  <dimension ref="A1:A7"/>
  <sheetViews>
    <sheetView workbookViewId="0">
      <selection activeCell="A2" sqref="A2:IV7"/>
    </sheetView>
  </sheetViews>
  <sheetFormatPr baseColWidth="10" defaultRowHeight="14.4" x14ac:dyDescent="0.3"/>
  <cols>
    <col min="1" max="1" width="33.6640625" customWidth="1"/>
  </cols>
  <sheetData>
    <row r="1" spans="1:1" ht="18.600000000000001" x14ac:dyDescent="0.45">
      <c r="A1" s="4" t="s">
        <v>9</v>
      </c>
    </row>
    <row r="2" spans="1:1" ht="18.600000000000001" x14ac:dyDescent="0.45">
      <c r="A2" s="4" t="s">
        <v>30</v>
      </c>
    </row>
    <row r="3" spans="1:1" ht="18.600000000000001" x14ac:dyDescent="0.45">
      <c r="A3" s="4" t="s">
        <v>27</v>
      </c>
    </row>
    <row r="4" spans="1:1" ht="18.600000000000001" x14ac:dyDescent="0.45">
      <c r="A4" s="4" t="s">
        <v>78</v>
      </c>
    </row>
    <row r="5" spans="1:1" ht="18.600000000000001" x14ac:dyDescent="0.45">
      <c r="A5" s="4" t="s">
        <v>113</v>
      </c>
    </row>
    <row r="6" spans="1:1" ht="18.600000000000001" x14ac:dyDescent="0.45">
      <c r="A6" s="4" t="s">
        <v>114</v>
      </c>
    </row>
    <row r="7" spans="1:1" ht="18.600000000000001" x14ac:dyDescent="0.45">
      <c r="A7" s="4" t="s">
        <v>128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wsNotas"/>
  <dimension ref="A1:E15"/>
  <sheetViews>
    <sheetView workbookViewId="0">
      <selection activeCell="B3" sqref="B3"/>
    </sheetView>
  </sheetViews>
  <sheetFormatPr baseColWidth="10" defaultColWidth="12.44140625" defaultRowHeight="14.4" x14ac:dyDescent="0.3"/>
  <cols>
    <col min="2" max="2" width="50.6640625" customWidth="1"/>
    <col min="3" max="3" width="27.88671875" customWidth="1"/>
    <col min="4" max="4" width="19.5546875" customWidth="1"/>
    <col min="5" max="5" width="22.33203125" customWidth="1"/>
  </cols>
  <sheetData>
    <row r="1" spans="1:5" x14ac:dyDescent="0.3">
      <c r="A1" t="s">
        <v>11</v>
      </c>
      <c r="B1" t="s">
        <v>55</v>
      </c>
      <c r="C1" t="s">
        <v>158</v>
      </c>
      <c r="D1" t="s">
        <v>159</v>
      </c>
      <c r="E1" t="s">
        <v>56</v>
      </c>
    </row>
    <row r="2" spans="1:5" x14ac:dyDescent="0.3">
      <c r="A2">
        <v>10010</v>
      </c>
      <c r="B2" t="s">
        <v>160</v>
      </c>
    </row>
    <row r="3" spans="1:5" x14ac:dyDescent="0.3">
      <c r="A3">
        <v>1004</v>
      </c>
      <c r="B3" t="s">
        <v>162</v>
      </c>
      <c r="C3" t="s">
        <v>163</v>
      </c>
      <c r="D3" t="s">
        <v>164</v>
      </c>
      <c r="E3" t="s">
        <v>165</v>
      </c>
    </row>
    <row r="4" spans="1:5" x14ac:dyDescent="0.3">
      <c r="A4">
        <v>1004</v>
      </c>
      <c r="B4" t="s">
        <v>166</v>
      </c>
      <c r="C4" t="s">
        <v>163</v>
      </c>
      <c r="D4" t="s">
        <v>167</v>
      </c>
      <c r="E4" t="s">
        <v>165</v>
      </c>
    </row>
    <row r="5" spans="1:5" x14ac:dyDescent="0.3">
      <c r="A5">
        <v>1004</v>
      </c>
      <c r="B5" t="s">
        <v>168</v>
      </c>
      <c r="C5" t="s">
        <v>163</v>
      </c>
      <c r="D5" t="s">
        <v>169</v>
      </c>
      <c r="E5" t="s">
        <v>165</v>
      </c>
    </row>
    <row r="15" spans="1:5" x14ac:dyDescent="0.3">
      <c r="E15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MATERIALES</vt:lpstr>
      <vt:lpstr>SERVICIOS</vt:lpstr>
      <vt:lpstr>MANO_DE_OBRA</vt:lpstr>
      <vt:lpstr>Formulario</vt:lpstr>
      <vt:lpstr>UNIDADES</vt:lpstr>
      <vt:lpstr>CATEGORIAS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2025-05-24T08:21:48Z</dcterms:modified>
</cp:coreProperties>
</file>